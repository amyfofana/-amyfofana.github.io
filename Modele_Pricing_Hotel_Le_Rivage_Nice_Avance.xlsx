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Exécutif" sheetId="1" state="visible" r:id="rId3"/>
    <sheet name="Données Annuelles" sheetId="2" state="visible" r:id="rId4"/>
    <sheet name="Analyse Segments" sheetId="3" state="visible" r:id="rId5"/>
    <sheet name="Calendrier Pricing Juillet" sheetId="4" state="visible" r:id="rId6"/>
    <sheet name="Forecast 6 Mois" sheetId="5" state="visible" r:id="rId7"/>
    <sheet name="CompSet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<sst xmlns="http://schemas.openxmlformats.org/spreadsheetml/2006/main" count="275" uniqueCount="180">
  <si>
    <t xml:space="preserve">HÔTEL LE RIVAGE ★★★★★ - NICE PROMENADE DES ANGLAIS</t>
  </si>
  <si>
    <t xml:space="preserve">Tableau de bord Revenue Management - Année 2026</t>
  </si>
  <si>
    <t xml:space="preserve">PROFIL DE L'ÉTABLISSEMENT</t>
  </si>
  <si>
    <t xml:space="preserve">PERFORMANCE ANNUELLE 2026</t>
  </si>
  <si>
    <t xml:space="preserve">Catégorie:</t>
  </si>
  <si>
    <t xml:space="preserve">5 étoiles Palace</t>
  </si>
  <si>
    <t xml:space="preserve">RevPAR Moyen</t>
  </si>
  <si>
    <t xml:space="preserve">Localisation:</t>
  </si>
  <si>
    <t xml:space="preserve">Promenade des Anglais, Nice</t>
  </si>
  <si>
    <t xml:space="preserve">ADR Moyen</t>
  </si>
  <si>
    <t xml:space="preserve">Capacité:</t>
  </si>
  <si>
    <t xml:space="preserve">120 chambres</t>
  </si>
  <si>
    <t xml:space="preserve">Occupation Moyenne</t>
  </si>
  <si>
    <t xml:space="preserve">Positionnement:</t>
  </si>
  <si>
    <t xml:space="preserve">Luxe balnéaire &amp; MICE</t>
  </si>
  <si>
    <t xml:space="preserve">TRevPAR Moyen</t>
  </si>
  <si>
    <t xml:space="preserve">Ouverture annuelle:</t>
  </si>
  <si>
    <t xml:space="preserve">12 mois</t>
  </si>
  <si>
    <t xml:space="preserve">CA Total Chambres</t>
  </si>
  <si>
    <t xml:space="preserve">CA Total (+ F&amp;B)</t>
  </si>
  <si>
    <t xml:space="preserve">INVENTAIRE CHAMBRES</t>
  </si>
  <si>
    <t xml:space="preserve">Type</t>
  </si>
  <si>
    <t xml:space="preserve">Nombre</t>
  </si>
  <si>
    <t xml:space="preserve">Surface</t>
  </si>
  <si>
    <t xml:space="preserve">Rack Rate</t>
  </si>
  <si>
    <t xml:space="preserve">% Inventaire</t>
  </si>
  <si>
    <t xml:space="preserve">MIX SEGMENTS CLIENTÈLE</t>
  </si>
  <si>
    <t xml:space="preserve">Deluxe Jardin</t>
  </si>
  <si>
    <t xml:space="preserve">32 m²</t>
  </si>
  <si>
    <t xml:space="preserve">Segment</t>
  </si>
  <si>
    <t xml:space="preserve">% Nuitées</t>
  </si>
  <si>
    <t xml:space="preserve">CA</t>
  </si>
  <si>
    <t xml:space="preserve">Deluxe Vue Mer</t>
  </si>
  <si>
    <t xml:space="preserve">38 m²</t>
  </si>
  <si>
    <t xml:space="preserve">Loisirs Individuel</t>
  </si>
  <si>
    <t xml:space="preserve">Junior Suite</t>
  </si>
  <si>
    <t xml:space="preserve">55 m²</t>
  </si>
  <si>
    <t xml:space="preserve">Corporate MICE</t>
  </si>
  <si>
    <t xml:space="preserve">Suite Prestige</t>
  </si>
  <si>
    <t xml:space="preserve">75 m²</t>
  </si>
  <si>
    <t xml:space="preserve">Groupes Loisirs</t>
  </si>
  <si>
    <t xml:space="preserve">OTA Transient</t>
  </si>
  <si>
    <t xml:space="preserve">DONNÉES HISTORIQUES &amp; KPI MENSUELS - ANNÉE 2026</t>
  </si>
  <si>
    <t xml:space="preserve">Mois</t>
  </si>
  <si>
    <t xml:space="preserve">Saison</t>
  </si>
  <si>
    <t xml:space="preserve">Ch. Vendues</t>
  </si>
  <si>
    <t xml:space="preserve">Ch. Dispo</t>
  </si>
  <si>
    <t xml:space="preserve">Occupation</t>
  </si>
  <si>
    <t xml:space="preserve">ADR</t>
  </si>
  <si>
    <t xml:space="preserve">Revenus Ch.</t>
  </si>
  <si>
    <t xml:space="preserve">F&amp;B</t>
  </si>
  <si>
    <t xml:space="preserve">Spa</t>
  </si>
  <si>
    <t xml:space="preserve">CA Total</t>
  </si>
  <si>
    <t xml:space="preserve">RevPAR</t>
  </si>
  <si>
    <t xml:space="preserve">ADR Calc</t>
  </si>
  <si>
    <t xml:space="preserve">Taux Occ</t>
  </si>
  <si>
    <t xml:space="preserve">TRevPAR</t>
  </si>
  <si>
    <t xml:space="preserve">Janvier</t>
  </si>
  <si>
    <t xml:space="preserve">Basse</t>
  </si>
  <si>
    <t xml:space="preserve">Février</t>
  </si>
  <si>
    <t xml:space="preserve">Mars</t>
  </si>
  <si>
    <t xml:space="preserve">Moyenne</t>
  </si>
  <si>
    <t xml:space="preserve">Avril</t>
  </si>
  <si>
    <t xml:space="preserve">Haute</t>
  </si>
  <si>
    <t xml:space="preserve">Mai</t>
  </si>
  <si>
    <t xml:space="preserve">Juin</t>
  </si>
  <si>
    <t xml:space="preserve">Très Haute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</si>
  <si>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</si>
  <si>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</si>
  <si>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</si>
  <si>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</si>
  <si>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</si>
  <si>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</si>
  <si>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TOTAL / MOYENNE</t>
  </si>
  <si>
    <t xml:space="preserve">ANALYSE DE SEGMENTATION CLIENTÈLE</t>
  </si>
  <si>
    <t xml:space="preserve">Nuitées</t>
  </si>
  <si>
    <t xml:space="preserve">% Mix</t>
  </si>
  <si>
    <t xml:space="preserve">RevPAR Contrib.</t>
  </si>
  <si>
    <t xml:space="preserve">Loisirs Individuel (OTA + Direct)</t>
  </si>
  <si>
    <t xml:space="preserve">Corporate MICE (Séminaires)</t>
  </si>
  <si>
    <t xml:space="preserve">Groupes Loisirs (TO)</t>
  </si>
  <si>
    <t xml:space="preserve">OTA Transient (Last Minute)</t>
  </si>
  <si>
    <t xml:space="preserve">TOTAL</t>
  </si>
  <si>
    <t xml:space="preserve">100%</t>
  </si>
  <si>
    <t xml:space="preserve">💡 INSIGHTS STRATÉGIQUES</t>
  </si>
  <si>
    <t xml:space="preserve">• Loisirs Individuel = 43% du mix → Segment principal, ADR le plus élevé (420€)</t>
  </si>
  <si>
    <t xml:space="preserve">• Corporate MICE = Forte valeur (380€ ADR) → Développer offres team-building</t>
  </si>
  <si>
    <t xml:space="preserve">• Groupes Loisirs = Volume important mais ADR moyen → Packages upgrades à pousser</t>
  </si>
  <si>
    <t xml:space="preserve">• OTA Transient = Last-minute, ADR correct → Optimiser yield restrictions (J-7)</t>
  </si>
  <si>
    <t xml:space="preserve">CALENDRIER PRICING DYNAMIQUE - JUILLET 2026 (TRÈS HAUTE SAISON)</t>
  </si>
  <si>
    <t xml:space="preserve">Date</t>
  </si>
  <si>
    <t xml:space="preserve">Jour</t>
  </si>
  <si>
    <t xml:space="preserve">Événement</t>
  </si>
  <si>
    <t xml:space="preserve">Occup. Prev</t>
  </si>
  <si>
    <t xml:space="preserve">Demande</t>
  </si>
  <si>
    <t xml:space="preserve">Stratégie</t>
  </si>
  <si>
    <t xml:space="preserve">01/07</t>
  </si>
  <si>
    <t xml:space="preserve">Mer</t>
  </si>
  <si>
    <t xml:space="preserve">Premium</t>
  </si>
  <si>
    <t xml:space="preserve">02/07</t>
  </si>
  <si>
    <t xml:space="preserve">Jeu</t>
  </si>
  <si>
    <t xml:space="preserve">03/07</t>
  </si>
  <si>
    <t xml:space="preserve">Ven</t>
  </si>
  <si>
    <t xml:space="preserve">Ultra Premium</t>
  </si>
  <si>
    <t xml:space="preserve">04/07</t>
  </si>
  <si>
    <t xml:space="preserve">Sam</t>
  </si>
  <si>
    <t xml:space="preserve">05/07</t>
  </si>
  <si>
    <t xml:space="preserve">Dim</t>
  </si>
  <si>
    <t xml:space="preserve">Optimisation</t>
  </si>
  <si>
    <t xml:space="preserve">06/07</t>
  </si>
  <si>
    <t xml:space="preserve">Lun</t>
  </si>
  <si>
    <t xml:space="preserve">07/07</t>
  </si>
  <si>
    <t xml:space="preserve">Mar</t>
  </si>
  <si>
    <t xml:space="preserve">08/07</t>
  </si>
  <si>
    <t xml:space="preserve">09/07</t>
  </si>
  <si>
    <t xml:space="preserve">10/07</t>
  </si>
  <si>
    <t xml:space="preserve">11/07</t>
  </si>
  <si>
    <t xml:space="preserve">12/07</t>
  </si>
  <si>
    <t xml:space="preserve">13/07</t>
  </si>
  <si>
    <t xml:space="preserve">14/07</t>
  </si>
  <si>
    <t xml:space="preserve">Festival Jazz Nice</t>
  </si>
  <si>
    <t xml:space="preserve">15/07</t>
  </si>
  <si>
    <t xml:space="preserve">16/07</t>
  </si>
  <si>
    <t xml:space="preserve">17/07</t>
  </si>
  <si>
    <t xml:space="preserve">18/07</t>
  </si>
  <si>
    <t xml:space="preserve">19/07</t>
  </si>
  <si>
    <t xml:space="preserve">20/07</t>
  </si>
  <si>
    <t xml:space="preserve">21/07</t>
  </si>
  <si>
    <t xml:space="preserve">22/07</t>
  </si>
  <si>
    <t xml:space="preserve">23/07</t>
  </si>
  <si>
    <t xml:space="preserve">24/07</t>
  </si>
  <si>
    <t xml:space="preserve">Fireworks Monaco</t>
  </si>
  <si>
    <t xml:space="preserve">25/07</t>
  </si>
  <si>
    <t xml:space="preserve">Yacht Show Cannes</t>
  </si>
  <si>
    <t xml:space="preserve">26/07</t>
  </si>
  <si>
    <t xml:space="preserve">27/07</t>
  </si>
  <si>
    <t xml:space="preserve">28/07</t>
  </si>
  <si>
    <t xml:space="preserve">29/07</t>
  </si>
  <si>
    <t xml:space="preserve">30/07</t>
  </si>
  <si>
    <t xml:space="preserve">31/07</t>
  </si>
  <si>
    <t xml:space="preserve">PRÉVISIONS REVENUE - JUILLET À DÉCEMBRE 2026</t>
  </si>
  <si>
    <t xml:space="preserve">ADR Prev</t>
  </si>
  <si>
    <t xml:space="preserve">RevPAR Prev</t>
  </si>
  <si>
    <t xml:space="preserve">CA Ch. Prev</t>
  </si>
  <si>
    <t xml:space="preserve">F&amp;B Prev</t>
  </si>
  <si>
    <t xml:space="preserve">CA Total Prev</t>
  </si>
  <si>
    <t xml:space="preserve">Confiance</t>
  </si>
  <si>
    <t xml:space="preserve">Risque</t>
  </si>
  <si>
    <t xml:space="preserve">Élevée</t>
  </si>
  <si>
    <t xml:space="preserve">Faible</t>
  </si>
  <si>
    <t xml:space="preserve">Modéré</t>
  </si>
  <si>
    <t xml:space="preserve">Élevé</t>
  </si>
  <si>
    <t xml:space="preserve">ANALYSE CONCURRENCE - COMPSET CÔTE D'AZUR</t>
  </si>
  <si>
    <t xml:space="preserve">Hôtel</t>
  </si>
  <si>
    <t xml:space="preserve">Catégorie</t>
  </si>
  <si>
    <t xml:space="preserve">Chambres</t>
  </si>
  <si>
    <t xml:space="preserve">RevPAR (Juil)</t>
  </si>
  <si>
    <t xml:space="preserve">Occupation (Juil)</t>
  </si>
  <si>
    <t xml:space="preserve">ADR (Juil)</t>
  </si>
  <si>
    <t xml:space="preserve">Position MPI</t>
  </si>
  <si>
    <t xml:space="preserve">Notes TripAdvisor</t>
  </si>
  <si>
    <t xml:space="preserve">Le Rivage (NOTRE HÔTEL)</t>
  </si>
  <si>
    <t xml:space="preserve">5★</t>
  </si>
  <si>
    <t xml:space="preserve">-</t>
  </si>
  <si>
    <t xml:space="preserve">4.6/5</t>
  </si>
  <si>
    <t xml:space="preserve">Hôtel Negresco</t>
  </si>
  <si>
    <t xml:space="preserve">5★ Palace</t>
  </si>
  <si>
    <t xml:space="preserve">Leader</t>
  </si>
  <si>
    <t xml:space="preserve">4.7/5</t>
  </si>
  <si>
    <t xml:space="preserve">Le Méridien Nice</t>
  </si>
  <si>
    <t xml:space="preserve">4★ Sup</t>
  </si>
  <si>
    <t xml:space="preserve">Concurrent</t>
  </si>
  <si>
    <t xml:space="preserve">4.4/5</t>
  </si>
  <si>
    <t xml:space="preserve">Boscolo Exedra Nice</t>
  </si>
  <si>
    <t xml:space="preserve">4.5/5</t>
  </si>
  <si>
    <t xml:space="preserve">MARKET POSITIONING INDEX (MPI)</t>
  </si>
  <si>
    <t xml:space="preserve">Notre RevPAR:</t>
  </si>
  <si>
    <t xml:space="preserve">CompSet Moyen:</t>
  </si>
  <si>
    <t xml:space="preserve">MPI (Index):</t>
  </si>
  <si>
    <t xml:space="preserve">Interprétation: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</si>
</sst>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€&quot;"/>
    <numFmt numFmtId="166" formatCode="0.0%"/>
    <numFmt numFmtId="167" formatCode="0%"/>
    <numFmt numFmtId="168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0066CC"/>
        <bgColor rgb="FF008080"/>
      </patternFill>
    </fill>
    <fill>
      <patternFill patternType="solid">
        <fgColor rgb="FF2E7D32"/>
        <bgColor rgb="FF008000"/>
      </patternFill>
    </fill>
    <fill>
      <patternFill patternType="solid">
        <fgColor rgb="FFFFD700"/>
        <bgColor rgb="FFFFFF00"/>
      </patternFill>
    </fill>
    <fill>
      <patternFill patternType="solid">
        <fgColor rgb="FFF0F0F0"/>
        <bgColor rgb="FFF9F9F9"/>
      </patternFill>
    </fill>
    <fill>
      <patternFill patternType="solid">
        <fgColor rgb="FFB0C4DE"/>
        <bgColor rgb="FF99CCFF"/>
      </patternFill>
    </fill>
    <fill>
      <patternFill patternType="solid">
        <fgColor rgb="FF90EE90"/>
        <bgColor rgb="FF9BBB59"/>
      </patternFill>
    </fill>
    <fill>
      <patternFill patternType="solid">
        <fgColor rgb="FFFFF4E6"/>
        <bgColor rgb="FFF9F9F9"/>
      </patternFill>
    </fill>
    <fill>
      <patternFill patternType="solid">
        <fgColor rgb="FFD32F2F"/>
        <bgColor rgb="FFC0504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0C4DE"/>
      <rgbColor rgb="FF878787"/>
      <rgbColor rgb="FF9999FF"/>
      <rgbColor rgb="FFC0504D"/>
      <rgbColor rgb="FFFFF4E6"/>
      <rgbColor rgb="FFF0F0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90EE90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D700"/>
      <rgbColor rgb="FFFF9900"/>
      <rgbColor rgb="FFFF6600"/>
      <rgbColor rgb="FF8064A2"/>
      <rgbColor rgb="FF969696"/>
      <rgbColor rgb="FF003366"/>
      <rgbColor rgb="FF2E7D32"/>
      <rgbColor rgb="FF003300"/>
      <rgbColor rgb="FF333300"/>
      <rgbColor rgb="FFD32F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Évolution RevPAR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'Données Annuelles'!K3</c:f>
              <c:strCache>
                <c:ptCount val="1"/>
                <c:pt idx="0">
                  <c:v>RevPAR</c:v>
                </c:pt>
              </c:strCache>
            </c:strRef>
          </c:tx>
          <c:spPr>
            <a:solidFill>
              <a:srgbClr val="0066cc"/>
            </a:solidFill>
            <a:ln w="29880">
              <a:solidFill>
                <a:srgbClr val="0066c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Annuelles'!$A$4:$A$15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Annuelles'!$K$4:$K$15</c:f>
              <c:numCache>
                <c:formatCode>#,##0" €"</c:formatCode>
                <c:ptCount val="12"/>
                <c:pt idx="0">
                  <c:v>141.523387673166</c:v>
                </c:pt>
                <c:pt idx="1">
                  <c:v>134.3493760491</c:v>
                </c:pt>
                <c:pt idx="2">
                  <c:v>203.266913397203</c:v>
                </c:pt>
                <c:pt idx="3">
                  <c:v>338.165890920434</c:v>
                </c:pt>
                <c:pt idx="4">
                  <c:v>337.804318360138</c:v>
                </c:pt>
                <c:pt idx="5">
                  <c:v>469.790598750818</c:v>
                </c:pt>
                <c:pt idx="6">
                  <c:v>453.572979762791</c:v>
                </c:pt>
                <c:pt idx="7">
                  <c:v>464.88061083178</c:v>
                </c:pt>
                <c:pt idx="8">
                  <c:v>330.987761797522</c:v>
                </c:pt>
                <c:pt idx="9">
                  <c:v>313.277603806955</c:v>
                </c:pt>
                <c:pt idx="10">
                  <c:v>131.277302958556</c:v>
                </c:pt>
                <c:pt idx="11">
                  <c:v>128.632230050853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73741"/>
        <c:axId val="51531282"/>
      </c:lineChart>
      <c:catAx>
        <c:axId val="77737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31282"/>
        <c:crosses val="autoZero"/>
        <c:auto val="1"/>
        <c:lblAlgn val="ctr"/>
        <c:lblOffset val="100"/>
        <c:noMultiLvlLbl val="0"/>
      </c:catAx>
      <c:valAx>
        <c:axId val="515312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RevPAR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37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Taux d'Occupation Mensuel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'Données Annuelles'!M3</c:f>
              <c:strCache>
                <c:ptCount val="1"/>
                <c:pt idx="0">
                  <c:v>Taux Occ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Annuelles'!$A$4:$A$15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Annuelles'!$M$4:$M$15</c:f>
              <c:numCache>
                <c:formatCode>0%</c:formatCode>
                <c:ptCount val="12"/>
                <c:pt idx="0">
                  <c:v>0.504444444444445</c:v>
                </c:pt>
                <c:pt idx="1">
                  <c:v>0.4875</c:v>
                </c:pt>
                <c:pt idx="2">
                  <c:v>0.6475</c:v>
                </c:pt>
                <c:pt idx="3">
                  <c:v>0.824444444444444</c:v>
                </c:pt>
                <c:pt idx="4">
                  <c:v>0.833611111111111</c:v>
                </c:pt>
                <c:pt idx="5">
                  <c:v>0.921388888888889</c:v>
                </c:pt>
                <c:pt idx="6">
                  <c:v>0.937222222222222</c:v>
                </c:pt>
                <c:pt idx="7">
                  <c:v>0.961944444444445</c:v>
                </c:pt>
                <c:pt idx="8">
                  <c:v>0.855</c:v>
                </c:pt>
                <c:pt idx="9">
                  <c:v>0.790277777777778</c:v>
                </c:pt>
                <c:pt idx="10">
                  <c:v>0.462777777777778</c:v>
                </c:pt>
                <c:pt idx="11">
                  <c:v>0.513611111111111</c:v>
                </c:pt>
              </c:numCache>
            </c:numRef>
          </c:val>
        </c:ser>
        <c:gapWidth val="150"/>
        <c:overlap val="0"/>
        <c:axId val="13714076"/>
        <c:axId val="12455302"/>
      </c:barChart>
      <c:catAx>
        <c:axId val="137140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55302"/>
        <c:crosses val="autoZero"/>
        <c:auto val="1"/>
        <c:lblAlgn val="ctr"/>
        <c:lblOffset val="100"/>
        <c:noMultiLvlLbl val="0"/>
      </c:catAx>
      <c:valAx>
        <c:axId val="124553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Occupation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140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Nuitées par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'Analyse Segments'!B3</c:f>
              <c:strCache>
                <c:ptCount val="1"/>
                <c:pt idx="0">
                  <c:v>Nuitées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'Analyse Segments'!$A$4:$A$7</c:f>
              <c:strCache>
                <c:ptCount val="4"/>
                <c:pt idx="0">
                  <c:v>Loisirs Individuel (OTA + Direct)</c:v>
                </c:pt>
                <c:pt idx="1">
                  <c:v>Corporate MICE (Séminaires)</c:v>
                </c:pt>
                <c:pt idx="2">
                  <c:v>Groupes Loisirs (TO)</c:v>
                </c:pt>
                <c:pt idx="3">
                  <c:v>OTA Transient (Last Minute)</c:v>
                </c:pt>
              </c:strCache>
            </c:strRef>
          </c:cat>
          <c:val>
            <c:numRef>
              <c:f>'Analyse Segments'!$B$4:$B$7</c:f>
              <c:numCache>
                <c:formatCode>General</c:formatCode>
                <c:ptCount val="4"/>
                <c:pt idx="0">
                  <c:v>14500</c:v>
                </c:pt>
                <c:pt idx="1">
                  <c:v>8200</c:v>
                </c:pt>
                <c:pt idx="2">
                  <c:v>6800</c:v>
                </c:pt>
                <c:pt idx="3">
                  <c:v>4500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Prévisions CA Total (6 mois)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'Forecast 6 Mois'!H3</c:f>
              <c:strCache>
                <c:ptCount val="1"/>
                <c:pt idx="0">
                  <c:v>CA Total Prev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'Forecast 6 Mois'!$A$4:$A$9</c:f>
              <c:strCache>
                <c:ptCount val="6"/>
                <c:pt idx="0">
                  <c:v>Juillet</c:v>
                </c:pt>
                <c:pt idx="1">
                  <c:v>Août</c:v>
                </c:pt>
                <c:pt idx="2">
                  <c:v>Septembre</c:v>
                </c:pt>
                <c:pt idx="3">
                  <c:v>Octobre</c:v>
                </c:pt>
                <c:pt idx="4">
                  <c:v>Novembre</c:v>
                </c:pt>
                <c:pt idx="5">
                  <c:v>Décembre</c:v>
                </c:pt>
              </c:strCache>
            </c:strRef>
          </c:cat>
          <c:val>
            <c:numRef>
              <c:f>'Forecast 6 Mois'!$H$4:$H$9</c:f>
              <c:numCache>
                <c:formatCode>#,##0" €"</c:formatCode>
                <c:ptCount val="6"/>
                <c:pt idx="0">
                  <c:v>2261358</c:v>
                </c:pt>
                <c:pt idx="1">
                  <c:v>2354670</c:v>
                </c:pt>
                <c:pt idx="2">
                  <c:v>1594080</c:v>
                </c:pt>
                <c:pt idx="3">
                  <c:v>1348164</c:v>
                </c:pt>
                <c:pt idx="4">
                  <c:v>682344</c:v>
                </c:pt>
                <c:pt idx="5">
                  <c:v>594864</c:v>
                </c:pt>
              </c:numCache>
            </c:numRef>
          </c:val>
        </c:ser>
        <c:gapWidth val="150"/>
        <c:overlap val="0"/>
        <c:axId val="42671845"/>
        <c:axId val="70072400"/>
      </c:barChart>
      <c:catAx>
        <c:axId val="426718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72400"/>
        <c:crosses val="autoZero"/>
        <c:auto val="1"/>
        <c:lblAlgn val="ctr"/>
        <c:lblOffset val="100"/>
        <c:noMultiLvlLbl val="0"/>
      </c:catAx>
      <c:valAx>
        <c:axId val="70072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718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Comparaison RevPAR CompSet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'CompSet Analysis'!D3</c:f>
              <c:strCache>
                <c:ptCount val="1"/>
                <c:pt idx="0">
                  <c:v>RevPAR (Juil)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'CompSet Analysis'!$A$4:$A$7</c:f>
              <c:strCache>
                <c:ptCount val="4"/>
                <c:pt idx="0">
                  <c:v>Le Rivage (NOTRE HÔTEL)</c:v>
                </c:pt>
                <c:pt idx="1">
                  <c:v>Hôtel Negresco</c:v>
                </c:pt>
                <c:pt idx="2">
                  <c:v>Le Méridien Nice</c:v>
                </c:pt>
                <c:pt idx="3">
                  <c:v>Boscolo Exedra Nice</c:v>
                </c:pt>
              </c:strCache>
            </c:strRef>
          </c:cat>
          <c:val>
            <c:numRef>
              <c:f>'CompSet Analysis'!$D$4:$D$7</c:f>
              <c:numCache>
                <c:formatCode>#,##0" €"</c:formatCode>
                <c:ptCount val="4"/>
                <c:pt idx="0">
                  <c:v>465</c:v>
                </c:pt>
                <c:pt idx="1">
                  <c:v>520</c:v>
                </c:pt>
                <c:pt idx="2">
                  <c:v>380</c:v>
                </c:pt>
                <c:pt idx="3">
                  <c:v>410</c:v>
                </c:pt>
              </c:numCache>
            </c:numRef>
          </c:val>
        </c:ser>
        <c:gapWidth val="150"/>
        <c:overlap val="0"/>
        <c:axId val="76928131"/>
        <c:axId val="41482670"/>
      </c:barChart>
      <c:catAx>
        <c:axId val="769281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82670"/>
        <c:crosses val="autoZero"/>
        <c:auto val="1"/>
        <c:lblAlgn val="ctr"/>
        <c:lblOffset val="100"/>
        <c:noMultiLvlLbl val="0"/>
      </c:catAx>
      <c:valAx>
        <c:axId val="414826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RevPAR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281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8</xdr:col>
      <xdr:colOff>362520</xdr:colOff>
      <xdr:row>35</xdr:row>
      <xdr:rowOff>170640</xdr:rowOff>
    </xdr:to>
    <xdr:graphicFrame>
      <xdr:nvGraphicFramePr>
        <xdr:cNvPr id="0" name="Chart 1"/>
        <xdr:cNvGraphicFramePr/>
      </xdr:nvGraphicFramePr>
      <xdr:xfrm>
        <a:off x="0" y="33624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8</xdr:col>
      <xdr:colOff>362520</xdr:colOff>
      <xdr:row>52</xdr:row>
      <xdr:rowOff>170640</xdr:rowOff>
    </xdr:to>
    <xdr:graphicFrame>
      <xdr:nvGraphicFramePr>
        <xdr:cNvPr id="1" name="Chart 2"/>
        <xdr:cNvGraphicFramePr/>
      </xdr:nvGraphicFramePr>
      <xdr:xfrm>
        <a:off x="0" y="66009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131040</xdr:rowOff>
    </xdr:from>
    <xdr:to>
      <xdr:col>4</xdr:col>
      <xdr:colOff>543600</xdr:colOff>
      <xdr:row>31</xdr:row>
      <xdr:rowOff>69120</xdr:rowOff>
    </xdr:to>
    <xdr:graphicFrame>
      <xdr:nvGraphicFramePr>
        <xdr:cNvPr id="2" name="Chart 1"/>
        <xdr:cNvGraphicFramePr/>
      </xdr:nvGraphicFramePr>
      <xdr:xfrm>
        <a:off x="0" y="17146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151920</xdr:rowOff>
    </xdr:from>
    <xdr:to>
      <xdr:col>7</xdr:col>
      <xdr:colOff>347400</xdr:colOff>
      <xdr:row>32</xdr:row>
      <xdr:rowOff>90000</xdr:rowOff>
    </xdr:to>
    <xdr:graphicFrame>
      <xdr:nvGraphicFramePr>
        <xdr:cNvPr id="3" name="Chart 1"/>
        <xdr:cNvGraphicFramePr/>
      </xdr:nvGraphicFramePr>
      <xdr:xfrm>
        <a:off x="0" y="209556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12</xdr:col>
      <xdr:colOff>438840</xdr:colOff>
      <xdr:row>24</xdr:row>
      <xdr:rowOff>75600</xdr:rowOff>
    </xdr:to>
    <xdr:graphicFrame>
      <xdr:nvGraphicFramePr>
        <xdr:cNvPr id="4" name="Chart 1"/>
        <xdr:cNvGraphicFramePr/>
      </xdr:nvGraphicFramePr>
      <xdr:xfrm>
        <a:off x="6202800" y="5716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5"/>
    <col collapsed="false" customWidth="true" hidden="false" outlineLevel="0" max="7" min="7" style="0" width="22"/>
    <col collapsed="false" customWidth="true" hidden="false" outlineLevel="0" max="10" min="8" style="0" width="1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/>
      <c r="C4" s="3"/>
      <c r="G4" s="3" t="s">
        <v>3</v>
      </c>
      <c r="H4" s="3"/>
      <c r="I4" s="3"/>
      <c r="J4" s="3"/>
      <c r="K4" s="3"/>
    </row>
    <row r="5" customFormat="false" ht="16.15" hidden="false" customHeight="false" outlineLevel="0" collapsed="false">
      <c r="A5" s="4" t="s">
        <v>4</v>
      </c>
      <c r="B5" s="5" t="s">
        <v>5</v>
      </c>
      <c r="C5" s="5"/>
      <c r="G5" s="4" t="s">
        <v>6</v>
      </c>
      <c r="H5" s="6" t="n">
        <f aca="false">'Données Annuelles'!L14</f>
        <v>283.672443367827</v>
      </c>
      <c r="I5" s="6"/>
      <c r="J5" s="6"/>
      <c r="K5" s="6"/>
    </row>
    <row r="6" customFormat="false" ht="16.15" hidden="false" customHeight="false" outlineLevel="0" collapsed="false">
      <c r="A6" s="4" t="s">
        <v>7</v>
      </c>
      <c r="B6" s="5" t="s">
        <v>8</v>
      </c>
      <c r="C6" s="5"/>
      <c r="G6" s="4" t="s">
        <v>9</v>
      </c>
      <c r="H6" s="6" t="n">
        <f aca="false">'Données Annuelles'!M14</f>
        <v>0.462777777777778</v>
      </c>
      <c r="I6" s="6"/>
      <c r="J6" s="6"/>
      <c r="K6" s="6"/>
    </row>
    <row r="7" customFormat="false" ht="16.15" hidden="false" customHeight="false" outlineLevel="0" collapsed="false">
      <c r="A7" s="4" t="s">
        <v>10</v>
      </c>
      <c r="B7" s="5" t="s">
        <v>11</v>
      </c>
      <c r="C7" s="5"/>
      <c r="G7" s="4" t="s">
        <v>12</v>
      </c>
      <c r="H7" s="7" t="n">
        <f aca="false">'Données Annuelles'!N14</f>
        <v>192.977635349077</v>
      </c>
      <c r="I7" s="7"/>
      <c r="J7" s="7"/>
      <c r="K7" s="7"/>
    </row>
    <row r="8" customFormat="false" ht="16.15" hidden="false" customHeight="false" outlineLevel="0" collapsed="false">
      <c r="A8" s="4" t="s">
        <v>13</v>
      </c>
      <c r="B8" s="5" t="s">
        <v>14</v>
      </c>
      <c r="C8" s="5"/>
      <c r="G8" s="4" t="s">
        <v>15</v>
      </c>
      <c r="H8" s="6" t="n">
        <f aca="false">'Données Annuelles'!O14</f>
        <v>0</v>
      </c>
      <c r="I8" s="6"/>
      <c r="J8" s="6"/>
      <c r="K8" s="6"/>
    </row>
    <row r="9" customFormat="false" ht="16.15" hidden="false" customHeight="false" outlineLevel="0" collapsed="false">
      <c r="A9" s="4" t="s">
        <v>16</v>
      </c>
      <c r="B9" s="5" t="s">
        <v>17</v>
      </c>
      <c r="C9" s="5"/>
      <c r="G9" s="4" t="s">
        <v>18</v>
      </c>
      <c r="H9" s="8" t="n">
        <f aca="false">'Données Annuelles'!I14</f>
        <v>56711.794878096</v>
      </c>
      <c r="I9" s="8"/>
      <c r="J9" s="8"/>
      <c r="K9" s="8"/>
    </row>
    <row r="10" customFormat="false" ht="16.15" hidden="false" customHeight="false" outlineLevel="0" collapsed="false">
      <c r="G10" s="4" t="s">
        <v>19</v>
      </c>
      <c r="H10" s="8" t="n">
        <f aca="false">'Données Annuelles'!K14</f>
        <v>131.277302958556</v>
      </c>
      <c r="I10" s="8"/>
      <c r="J10" s="8"/>
      <c r="K10" s="8"/>
    </row>
    <row r="11" customFormat="false" ht="15" hidden="false" customHeight="false" outlineLevel="0" collapsed="false">
      <c r="A11" s="3" t="s">
        <v>20</v>
      </c>
      <c r="B11" s="3"/>
      <c r="C11" s="3"/>
      <c r="D11" s="3"/>
      <c r="E11" s="3"/>
    </row>
    <row r="12" customFormat="false" ht="15" hidden="false" customHeight="false" outlineLevel="0" collapsed="false">
      <c r="A12" s="9" t="s">
        <v>21</v>
      </c>
      <c r="B12" s="9" t="s">
        <v>22</v>
      </c>
      <c r="C12" s="9" t="s">
        <v>23</v>
      </c>
      <c r="D12" s="9" t="s">
        <v>24</v>
      </c>
      <c r="E12" s="9" t="s">
        <v>25</v>
      </c>
      <c r="G12" s="3" t="s">
        <v>26</v>
      </c>
      <c r="H12" s="3"/>
      <c r="I12" s="3"/>
      <c r="J12" s="3"/>
      <c r="K12" s="3"/>
    </row>
    <row r="13" customFormat="false" ht="15" hidden="false" customHeight="false" outlineLevel="0" collapsed="false">
      <c r="A13" s="0" t="s">
        <v>27</v>
      </c>
      <c r="B13" s="0" t="n">
        <v>50</v>
      </c>
      <c r="C13" s="0" t="s">
        <v>28</v>
      </c>
      <c r="D13" s="10" t="n">
        <v>280</v>
      </c>
      <c r="E13" s="11" t="n">
        <f aca="false">B13/120</f>
        <v>0.416666666666667</v>
      </c>
      <c r="G13" s="12" t="s">
        <v>29</v>
      </c>
      <c r="H13" s="12" t="s">
        <v>30</v>
      </c>
      <c r="I13" s="12" t="s">
        <v>9</v>
      </c>
      <c r="J13" s="12" t="s">
        <v>31</v>
      </c>
    </row>
    <row r="14" customFormat="false" ht="15" hidden="false" customHeight="false" outlineLevel="0" collapsed="false">
      <c r="A14" s="0" t="s">
        <v>32</v>
      </c>
      <c r="B14" s="0" t="n">
        <v>40</v>
      </c>
      <c r="C14" s="0" t="s">
        <v>33</v>
      </c>
      <c r="D14" s="10" t="n">
        <v>380</v>
      </c>
      <c r="E14" s="11" t="n">
        <f aca="false">B14/120</f>
        <v>0.333333333333333</v>
      </c>
      <c r="G14" s="13" t="s">
        <v>34</v>
      </c>
      <c r="H14" s="14" t="n">
        <f aca="false">'Analyse Segments'!C4</f>
        <v>0.426470588235294</v>
      </c>
      <c r="I14" s="15" t="n">
        <f aca="false">'Analyse Segments'!D4</f>
        <v>420</v>
      </c>
      <c r="J14" s="15" t="n">
        <f aca="false">'Analyse Segments'!E4</f>
        <v>6090000</v>
      </c>
    </row>
    <row r="15" customFormat="false" ht="15" hidden="false" customHeight="false" outlineLevel="0" collapsed="false">
      <c r="A15" s="0" t="s">
        <v>35</v>
      </c>
      <c r="B15" s="0" t="n">
        <v>20</v>
      </c>
      <c r="C15" s="0" t="s">
        <v>36</v>
      </c>
      <c r="D15" s="10" t="n">
        <v>520</v>
      </c>
      <c r="E15" s="11" t="n">
        <f aca="false">B15/120</f>
        <v>0.166666666666667</v>
      </c>
      <c r="G15" s="13" t="s">
        <v>37</v>
      </c>
      <c r="H15" s="14" t="n">
        <f aca="false">'Analyse Segments'!C5</f>
        <v>0.241176470588235</v>
      </c>
      <c r="I15" s="15" t="n">
        <f aca="false">'Analyse Segments'!D5</f>
        <v>380</v>
      </c>
      <c r="J15" s="15" t="n">
        <f aca="false">'Analyse Segments'!E5</f>
        <v>3116000</v>
      </c>
    </row>
    <row r="16" customFormat="false" ht="15" hidden="false" customHeight="false" outlineLevel="0" collapsed="false">
      <c r="A16" s="0" t="s">
        <v>38</v>
      </c>
      <c r="B16" s="0" t="n">
        <v>10</v>
      </c>
      <c r="C16" s="0" t="s">
        <v>39</v>
      </c>
      <c r="D16" s="10" t="n">
        <v>850</v>
      </c>
      <c r="E16" s="11" t="n">
        <f aca="false">B16/120</f>
        <v>0.0833333333333333</v>
      </c>
      <c r="G16" s="13" t="s">
        <v>40</v>
      </c>
      <c r="H16" s="14" t="n">
        <f aca="false">'Analyse Segments'!C6</f>
        <v>0.2</v>
      </c>
      <c r="I16" s="15" t="n">
        <f aca="false">'Analyse Segments'!D6</f>
        <v>340</v>
      </c>
      <c r="J16" s="15" t="n">
        <f aca="false">'Analyse Segments'!E6</f>
        <v>2312000</v>
      </c>
    </row>
    <row r="17" customFormat="false" ht="15" hidden="false" customHeight="false" outlineLevel="0" collapsed="false">
      <c r="G17" s="0" t="s">
        <v>41</v>
      </c>
      <c r="H17" s="14" t="n">
        <f aca="false">'Analyse Segments'!C7</f>
        <v>0.132352941176471</v>
      </c>
      <c r="I17" s="15" t="n">
        <f aca="false">'Analyse Segments'!D7</f>
        <v>395</v>
      </c>
      <c r="J17" s="15" t="n">
        <f aca="false">'Analyse Segments'!E7</f>
        <v>1777500</v>
      </c>
    </row>
  </sheetData>
  <mergeCells count="17">
    <mergeCell ref="A1:K1"/>
    <mergeCell ref="A2:K2"/>
    <mergeCell ref="A4:C4"/>
    <mergeCell ref="G4:K4"/>
    <mergeCell ref="B5:C5"/>
    <mergeCell ref="H5:K5"/>
    <mergeCell ref="B6:C6"/>
    <mergeCell ref="H6:K6"/>
    <mergeCell ref="B7:C7"/>
    <mergeCell ref="H7:K7"/>
    <mergeCell ref="B8:C8"/>
    <mergeCell ref="H8:K8"/>
    <mergeCell ref="B9:C9"/>
    <mergeCell ref="H9:K9"/>
    <mergeCell ref="H10:K10"/>
    <mergeCell ref="A11:E11"/>
    <mergeCell ref="G12:K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2"/>
  </cols>
  <sheetData>
    <row r="1" customFormat="false" ht="24.75" hidden="false" customHeight="true" outlineLevel="0" collapsed="false">
      <c r="A1" s="16" t="s">
        <v>42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3" customFormat="false" ht="15" hidden="false" customHeight="false" outlineLevel="0" collapsed="false">
      <c r="A3" s="17" t="s">
        <v>43</v>
      </c>
      <c r="B3" s="17" t="s">
        <v>44</v>
      </c>
      <c r="C3" s="17" t="s">
        <v>45</v>
      </c>
      <c r="D3" s="17" t="s">
        <v>46</v>
      </c>
      <c r="E3" s="17" t="s">
        <v>47</v>
      </c>
      <c r="F3" s="17" t="s">
        <v>48</v>
      </c>
      <c r="G3" s="17" t="s">
        <v>49</v>
      </c>
      <c r="H3" s="17" t="s">
        <v>50</v>
      </c>
      <c r="I3" s="17" t="s">
        <v>51</v>
      </c>
      <c r="J3" s="17" t="s">
        <v>52</v>
      </c>
      <c r="K3" s="17" t="s">
        <v>53</v>
      </c>
      <c r="L3" s="17" t="s">
        <v>54</v>
      </c>
      <c r="M3" s="17" t="s">
        <v>55</v>
      </c>
      <c r="N3" s="17" t="s">
        <v>56</v>
      </c>
    </row>
    <row r="4" customFormat="false" ht="15" hidden="false" customHeight="false" outlineLevel="0" collapsed="false">
      <c r="A4" s="0" t="s">
        <v>57</v>
      </c>
      <c r="B4" s="18" t="s">
        <v>58</v>
      </c>
      <c r="C4" s="0" t="n">
        <v>1816</v>
      </c>
      <c r="D4" s="0" t="n">
        <v>3600</v>
      </c>
      <c r="E4" s="11" t="n">
        <v>0.504636110986003</v>
      </c>
      <c r="F4" s="15" t="n">
        <v>280.552971158259</v>
      </c>
      <c r="G4" s="15" t="n">
        <v>509484.195623398</v>
      </c>
      <c r="H4" s="15" t="n">
        <v>178319.468468189</v>
      </c>
      <c r="I4" s="15" t="n">
        <v>61138.1034748077</v>
      </c>
      <c r="J4" s="15" t="n">
        <v>748941.767566395</v>
      </c>
      <c r="K4" s="15" t="n">
        <f aca="false">G4/D4</f>
        <v>141.523387673166</v>
      </c>
      <c r="L4" s="15" t="n">
        <f aca="false">G4/C4</f>
        <v>280.552971158259</v>
      </c>
      <c r="M4" s="11" t="n">
        <f aca="false">C4/D4</f>
        <v>0.504444444444445</v>
      </c>
      <c r="N4" s="15" t="n">
        <f aca="false">J4/D4</f>
        <v>208.039379879554</v>
      </c>
    </row>
    <row r="5" customFormat="false" ht="15" hidden="false" customHeight="false" outlineLevel="0" collapsed="false">
      <c r="A5" s="0" t="s">
        <v>59</v>
      </c>
      <c r="B5" s="18" t="s">
        <v>58</v>
      </c>
      <c r="C5" s="0" t="n">
        <v>1755</v>
      </c>
      <c r="D5" s="0" t="n">
        <v>3600</v>
      </c>
      <c r="E5" s="11" t="n">
        <v>0.487654911409234</v>
      </c>
      <c r="F5" s="15" t="n">
        <v>275.588463690462</v>
      </c>
      <c r="G5" s="15" t="n">
        <v>483657.753776761</v>
      </c>
      <c r="H5" s="15" t="n">
        <v>169280.213821866</v>
      </c>
      <c r="I5" s="15" t="n">
        <v>58038.9304532113</v>
      </c>
      <c r="J5" s="15" t="n">
        <v>710976.898051838</v>
      </c>
      <c r="K5" s="15" t="n">
        <f aca="false">G5/D5</f>
        <v>134.3493760491</v>
      </c>
      <c r="L5" s="15" t="n">
        <f aca="false">G5/C5</f>
        <v>275.588463690462</v>
      </c>
      <c r="M5" s="11" t="n">
        <f aca="false">C5/D5</f>
        <v>0.4875</v>
      </c>
      <c r="N5" s="15" t="n">
        <f aca="false">J5/D5</f>
        <v>197.493582792177</v>
      </c>
    </row>
    <row r="6" customFormat="false" ht="15" hidden="false" customHeight="false" outlineLevel="0" collapsed="false">
      <c r="A6" s="0" t="s">
        <v>60</v>
      </c>
      <c r="B6" s="0" t="s">
        <v>61</v>
      </c>
      <c r="C6" s="0" t="n">
        <v>2331</v>
      </c>
      <c r="D6" s="0" t="n">
        <v>3600</v>
      </c>
      <c r="E6" s="11" t="n">
        <v>0.647718315035268</v>
      </c>
      <c r="F6" s="15" t="n">
        <v>313.925734976375</v>
      </c>
      <c r="G6" s="15" t="n">
        <v>731760.888229929</v>
      </c>
      <c r="H6" s="15" t="n">
        <v>256116.310880475</v>
      </c>
      <c r="I6" s="15" t="n">
        <v>87811.3065875915</v>
      </c>
      <c r="J6" s="15" t="n">
        <v>1075688.505698</v>
      </c>
      <c r="K6" s="15" t="n">
        <f aca="false">G6/D6</f>
        <v>203.266913397203</v>
      </c>
      <c r="L6" s="15" t="n">
        <f aca="false">G6/C6</f>
        <v>313.925734976375</v>
      </c>
      <c r="M6" s="11" t="n">
        <f aca="false">C6/D6</f>
        <v>0.6475</v>
      </c>
      <c r="N6" s="15" t="n">
        <f aca="false">J6/D6</f>
        <v>298.802362693888</v>
      </c>
    </row>
    <row r="7" customFormat="false" ht="15" hidden="false" customHeight="false" outlineLevel="0" collapsed="false">
      <c r="A7" s="0" t="s">
        <v>62</v>
      </c>
      <c r="B7" s="19" t="s">
        <v>63</v>
      </c>
      <c r="C7" s="0" t="n">
        <v>2968</v>
      </c>
      <c r="D7" s="0" t="n">
        <v>3600</v>
      </c>
      <c r="E7" s="11" t="n">
        <v>0.82445740208363</v>
      </c>
      <c r="F7" s="15" t="n">
        <v>410.174261224247</v>
      </c>
      <c r="G7" s="15" t="n">
        <v>1217397.20731356</v>
      </c>
      <c r="H7" s="15" t="n">
        <v>426089.022559748</v>
      </c>
      <c r="I7" s="15" t="n">
        <v>146087.664877628</v>
      </c>
      <c r="J7" s="15" t="n">
        <v>1789573.89475094</v>
      </c>
      <c r="K7" s="15" t="n">
        <f aca="false">G7/D7</f>
        <v>338.165890920434</v>
      </c>
      <c r="L7" s="15" t="n">
        <f aca="false">G7/C7</f>
        <v>410.174261224247</v>
      </c>
      <c r="M7" s="11" t="n">
        <f aca="false">C7/D7</f>
        <v>0.824444444444444</v>
      </c>
      <c r="N7" s="15" t="n">
        <f aca="false">J7/D7</f>
        <v>497.103859653039</v>
      </c>
    </row>
    <row r="8" customFormat="false" ht="15" hidden="false" customHeight="false" outlineLevel="0" collapsed="false">
      <c r="A8" s="0" t="s">
        <v>64</v>
      </c>
      <c r="B8" s="19" t="s">
        <v>63</v>
      </c>
      <c r="C8" s="0" t="n">
        <v>3001</v>
      </c>
      <c r="D8" s="0" t="n">
        <v>3600</v>
      </c>
      <c r="E8" s="11" t="n">
        <v>0.833764842717594</v>
      </c>
      <c r="F8" s="15" t="n">
        <v>405.230105330389</v>
      </c>
      <c r="G8" s="15" t="n">
        <v>1216095.5460965</v>
      </c>
      <c r="H8" s="15" t="n">
        <v>425633.441133774</v>
      </c>
      <c r="I8" s="15" t="n">
        <v>145931.46553158</v>
      </c>
      <c r="J8" s="15" t="n">
        <v>1787660.45276185</v>
      </c>
      <c r="K8" s="15" t="n">
        <f aca="false">G8/D8</f>
        <v>337.804318360138</v>
      </c>
      <c r="L8" s="15" t="n">
        <f aca="false">G8/C8</f>
        <v>405.230105330389</v>
      </c>
      <c r="M8" s="11" t="n">
        <f aca="false">C8/D8</f>
        <v>0.833611111111111</v>
      </c>
      <c r="N8" s="15" t="n">
        <f aca="false">J8/D8</f>
        <v>496.572347989403</v>
      </c>
    </row>
    <row r="9" customFormat="false" ht="15" hidden="false" customHeight="false" outlineLevel="0" collapsed="false">
      <c r="A9" s="0" t="s">
        <v>65</v>
      </c>
      <c r="B9" s="20" t="s">
        <v>66</v>
      </c>
      <c r="C9" s="0" t="n">
        <v>3317</v>
      </c>
      <c r="D9" s="0" t="n">
        <v>3600</v>
      </c>
      <c r="E9" s="11" t="n">
        <v>0.921659813828498</v>
      </c>
      <c r="F9" s="15" t="n">
        <v>509.872220531487</v>
      </c>
      <c r="G9" s="15" t="n">
        <v>1691246.15550294</v>
      </c>
      <c r="H9" s="15" t="n">
        <v>591936.15442603</v>
      </c>
      <c r="I9" s="15" t="n">
        <v>202949.538660353</v>
      </c>
      <c r="J9" s="15" t="n">
        <v>2486131.84858933</v>
      </c>
      <c r="K9" s="15" t="n">
        <f aca="false">G9/D9</f>
        <v>469.790598750818</v>
      </c>
      <c r="L9" s="15" t="n">
        <f aca="false">G9/C9</f>
        <v>509.872220531487</v>
      </c>
      <c r="M9" s="11" t="n">
        <f aca="false">C9/D9</f>
        <v>0.921388888888889</v>
      </c>
      <c r="N9" s="15" t="n">
        <f aca="false">J9/D9</f>
        <v>690.592180163702</v>
      </c>
    </row>
    <row r="10" customFormat="false" ht="15" hidden="false" customHeight="false" outlineLevel="0" collapsed="false">
      <c r="A10" s="0" t="s">
        <v>67</v>
      </c>
      <c r="B10" s="20" t="s">
        <v>66</v>
      </c>
      <c r="C10" s="0" t="n">
        <v>3374</v>
      </c>
      <c r="D10" s="0" t="n">
        <v>3600</v>
      </c>
      <c r="E10" s="11" t="n">
        <v>0.937420984062922</v>
      </c>
      <c r="F10" s="15" t="n">
        <v>483.954572361009</v>
      </c>
      <c r="G10" s="15" t="n">
        <v>1632862.72714605</v>
      </c>
      <c r="H10" s="15" t="n">
        <v>571501.954501116</v>
      </c>
      <c r="I10" s="15" t="n">
        <v>195943.527257525</v>
      </c>
      <c r="J10" s="15" t="n">
        <v>2400308.20890469</v>
      </c>
      <c r="K10" s="15" t="n">
        <f aca="false">G10/D10</f>
        <v>453.572979762791</v>
      </c>
      <c r="L10" s="15" t="n">
        <f aca="false">G10/C10</f>
        <v>483.954572361009</v>
      </c>
      <c r="M10" s="11" t="n">
        <f aca="false">C10/D10</f>
        <v>0.937222222222222</v>
      </c>
      <c r="N10" s="15" t="n">
        <f aca="false">J10/D10</f>
        <v>666.752280251302</v>
      </c>
    </row>
    <row r="11" customFormat="false" ht="15" hidden="false" customHeight="false" outlineLevel="0" collapsed="false">
      <c r="A11" s="0" t="s">
        <v>68</v>
      </c>
      <c r="B11" s="20" t="s">
        <v>66</v>
      </c>
      <c r="C11" s="0" t="n">
        <v>3463</v>
      </c>
      <c r="D11" s="0" t="n">
        <v>3600</v>
      </c>
      <c r="E11" s="11" t="n">
        <v>0.962109374171487</v>
      </c>
      <c r="F11" s="15" t="n">
        <v>483.271787177132</v>
      </c>
      <c r="G11" s="15" t="n">
        <v>1673570.19899441</v>
      </c>
      <c r="H11" s="15" t="n">
        <v>585749.569648042</v>
      </c>
      <c r="I11" s="15" t="n">
        <v>200828.423879329</v>
      </c>
      <c r="J11" s="15" t="n">
        <v>2460148.19252178</v>
      </c>
      <c r="K11" s="15" t="n">
        <f aca="false">G11/D11</f>
        <v>464.88061083178</v>
      </c>
      <c r="L11" s="15" t="n">
        <f aca="false">G11/C11</f>
        <v>483.271787177132</v>
      </c>
      <c r="M11" s="11" t="n">
        <f aca="false">C11/D11</f>
        <v>0.961944444444445</v>
      </c>
      <c r="N11" s="15" t="n">
        <f aca="false">J11/D11</f>
        <v>683.374497922716</v>
      </c>
    </row>
    <row r="12" customFormat="false" ht="15" hidden="false" customHeight="false" outlineLevel="0" collapsed="false">
      <c r="A12" s="0" t="s">
        <v>69</v>
      </c>
      <c r="B12" s="19" t="s">
        <v>63</v>
      </c>
      <c r="C12" s="0" t="n">
        <v>3078</v>
      </c>
      <c r="D12" s="0" t="n">
        <v>3600</v>
      </c>
      <c r="E12" s="11" t="n">
        <v>0.855025001872639</v>
      </c>
      <c r="F12" s="15" t="n">
        <v>387.120189236868</v>
      </c>
      <c r="G12" s="15" t="n">
        <v>1191555.94247108</v>
      </c>
      <c r="H12" s="15" t="n">
        <v>417044.579864878</v>
      </c>
      <c r="I12" s="15" t="n">
        <v>142986.71309653</v>
      </c>
      <c r="J12" s="15" t="n">
        <v>1751587.23543249</v>
      </c>
      <c r="K12" s="15" t="n">
        <f aca="false">G12/D12</f>
        <v>330.987761797522</v>
      </c>
      <c r="L12" s="15" t="n">
        <f aca="false">G12/C12</f>
        <v>387.120189236868</v>
      </c>
      <c r="M12" s="11" t="n">
        <f aca="false">C12/D12</f>
        <v>0.855</v>
      </c>
      <c r="N12" s="15" t="n">
        <f aca="false">J12/D12</f>
        <v>486.552009842358</v>
      </c>
    </row>
    <row r="13" customFormat="false" ht="15" hidden="false" customHeight="false" outlineLevel="0" collapsed="false">
      <c r="A13" s="0" t="s">
        <v>70</v>
      </c>
      <c r="B13" s="19" t="s">
        <v>63</v>
      </c>
      <c r="C13" s="0" t="n">
        <v>2845</v>
      </c>
      <c r="D13" s="0" t="n">
        <v>3600</v>
      </c>
      <c r="E13" s="11" t="n">
        <v>0.79050504476851</v>
      </c>
      <c r="F13" s="15" t="n">
        <v>396.414542602825</v>
      </c>
      <c r="G13" s="15" t="n">
        <v>1127799.37370504</v>
      </c>
      <c r="H13" s="15" t="n">
        <v>394729.780796763</v>
      </c>
      <c r="I13" s="15" t="n">
        <v>135335.924844605</v>
      </c>
      <c r="J13" s="15" t="n">
        <v>1657865.07934641</v>
      </c>
      <c r="K13" s="15" t="n">
        <f aca="false">G13/D13</f>
        <v>313.277603806955</v>
      </c>
      <c r="L13" s="15" t="n">
        <f aca="false">G13/C13</f>
        <v>396.414542602825</v>
      </c>
      <c r="M13" s="11" t="n">
        <f aca="false">C13/D13</f>
        <v>0.790277777777778</v>
      </c>
      <c r="N13" s="15" t="n">
        <f aca="false">J13/D13</f>
        <v>460.518077596224</v>
      </c>
    </row>
    <row r="14" customFormat="false" ht="15" hidden="false" customHeight="false" outlineLevel="0" collapsed="false">
      <c r="A14" s="0" t="s">
        <v>71</v>
      </c>
      <c r="B14" s="18" t="s">
        <v>58</v>
      </c>
      <c r="C14" s="0" t="n">
        <v>1666</v>
      </c>
      <c r="D14" s="0" t="n">
        <v>3600</v>
      </c>
      <c r="E14" s="11" t="n">
        <v>0.462856308427028</v>
      </c>
      <c r="F14" s="15" t="n">
        <v>283.672443367827</v>
      </c>
      <c r="G14" s="15" t="n">
        <v>472598.2906508</v>
      </c>
      <c r="H14" s="15" t="n">
        <v>165409.40172778</v>
      </c>
      <c r="I14" s="15" t="n">
        <v>56711.794878096</v>
      </c>
      <c r="J14" s="15" t="n">
        <v>694719.487256676</v>
      </c>
      <c r="K14" s="15" t="n">
        <f aca="false">G14/D14</f>
        <v>131.277302958556</v>
      </c>
      <c r="L14" s="15" t="n">
        <f aca="false">G14/C14</f>
        <v>283.672443367827</v>
      </c>
      <c r="M14" s="11" t="n">
        <f aca="false">C14/D14</f>
        <v>0.462777777777778</v>
      </c>
      <c r="N14" s="15" t="n">
        <f aca="false">J14/D14</f>
        <v>192.977635349077</v>
      </c>
    </row>
    <row r="15" customFormat="false" ht="15" hidden="false" customHeight="false" outlineLevel="0" collapsed="false">
      <c r="A15" s="0" t="s">
        <v>72</v>
      </c>
      <c r="B15" s="18" t="s">
        <v>58</v>
      </c>
      <c r="C15" s="0" t="n">
        <v>1849</v>
      </c>
      <c r="D15" s="0" t="n">
        <v>3600</v>
      </c>
      <c r="E15" s="11" t="n">
        <v>0.513863228392397</v>
      </c>
      <c r="F15" s="15" t="n">
        <v>250.446743203391</v>
      </c>
      <c r="G15" s="15" t="n">
        <v>463076.028183069</v>
      </c>
      <c r="H15" s="15" t="n">
        <v>162076.609864074</v>
      </c>
      <c r="I15" s="15" t="n">
        <v>55569.1233819683</v>
      </c>
      <c r="J15" s="15" t="n">
        <v>680721.761429112</v>
      </c>
      <c r="K15" s="15" t="n">
        <f aca="false">G15/D15</f>
        <v>128.632230050853</v>
      </c>
      <c r="L15" s="15" t="n">
        <f aca="false">G15/C15</f>
        <v>250.446743203391</v>
      </c>
      <c r="M15" s="11" t="n">
        <f aca="false">C15/D15</f>
        <v>0.513611111111111</v>
      </c>
      <c r="N15" s="15" t="n">
        <f aca="false">J15/D15</f>
        <v>189.089378174753</v>
      </c>
    </row>
    <row r="16" customFormat="false" ht="15" hidden="false" customHeight="false" outlineLevel="0" collapsed="false">
      <c r="A16" s="4" t="s">
        <v>73</v>
      </c>
      <c r="C16" s="12" t="n">
        <f aca="false">SUM(C4:C15)</f>
        <v>31463</v>
      </c>
      <c r="D16" s="12" t="n">
        <f aca="false">SUM(D4:D15)</f>
        <v>43200</v>
      </c>
      <c r="E16" s="21" t="n">
        <f aca="false">AVERAGE(E4:E15)</f>
        <v>0.728472611479601</v>
      </c>
      <c r="F16" s="22" t="n">
        <f aca="false">AVERAGE(F4:F15)</f>
        <v>373.352002905023</v>
      </c>
      <c r="G16" s="22" t="n">
        <f aca="false">SUM(G4:G15)</f>
        <v>12411104.3076935</v>
      </c>
      <c r="H16" s="22" t="n">
        <f aca="false">SUM(H4:H15)</f>
        <v>4343886.50769274</v>
      </c>
      <c r="I16" s="22" t="n">
        <f aca="false">SUM(I4:I15)</f>
        <v>1489332.51692322</v>
      </c>
      <c r="J16" s="22" t="n">
        <f aca="false">SUM(J4:J15)</f>
        <v>18244323.3323095</v>
      </c>
      <c r="K16" s="22" t="n">
        <f aca="false">AVERAGE(K4:K15)</f>
        <v>287.29408119661</v>
      </c>
      <c r="L16" s="22" t="n">
        <f aca="false">AVERAGE(L4:L15)</f>
        <v>373.352002905023</v>
      </c>
      <c r="M16" s="21" t="n">
        <f aca="false">AVERAGE(M4:M15)</f>
        <v>0.728310185185185</v>
      </c>
      <c r="N16" s="22" t="n">
        <f aca="false">AVERAGE(N4:N15)</f>
        <v>422.322299359016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6" min="5" style="0" width="18"/>
  </cols>
  <sheetData>
    <row r="1" customFormat="false" ht="19.7" hidden="false" customHeight="false" outlineLevel="0" collapsed="false">
      <c r="A1" s="16" t="s">
        <v>74</v>
      </c>
      <c r="B1" s="16"/>
      <c r="C1" s="16"/>
      <c r="D1" s="16"/>
      <c r="E1" s="16"/>
      <c r="F1" s="16"/>
    </row>
    <row r="3" customFormat="false" ht="15" hidden="false" customHeight="false" outlineLevel="0" collapsed="false">
      <c r="A3" s="23" t="s">
        <v>29</v>
      </c>
      <c r="B3" s="23" t="s">
        <v>75</v>
      </c>
      <c r="C3" s="23" t="s">
        <v>76</v>
      </c>
      <c r="D3" s="23" t="s">
        <v>9</v>
      </c>
      <c r="E3" s="23" t="s">
        <v>52</v>
      </c>
      <c r="F3" s="23" t="s">
        <v>77</v>
      </c>
    </row>
    <row r="4" customFormat="false" ht="15" hidden="false" customHeight="false" outlineLevel="0" collapsed="false">
      <c r="A4" s="0" t="s">
        <v>78</v>
      </c>
      <c r="B4" s="24" t="n">
        <v>14500</v>
      </c>
      <c r="C4" s="14" t="n">
        <f aca="false">B4/34000</f>
        <v>0.426470588235294</v>
      </c>
      <c r="D4" s="10" t="n">
        <v>420</v>
      </c>
      <c r="E4" s="15" t="n">
        <f aca="false">B4*D4</f>
        <v>6090000</v>
      </c>
      <c r="F4" s="14" t="n">
        <f aca="false">E4/SUM(E$4:E$7)</f>
        <v>0.458049716069347</v>
      </c>
    </row>
    <row r="5" customFormat="false" ht="15" hidden="false" customHeight="false" outlineLevel="0" collapsed="false">
      <c r="A5" s="0" t="s">
        <v>79</v>
      </c>
      <c r="B5" s="24" t="n">
        <v>8200</v>
      </c>
      <c r="C5" s="14" t="n">
        <f aca="false">B5/34000</f>
        <v>0.241176470588235</v>
      </c>
      <c r="D5" s="10" t="n">
        <v>380</v>
      </c>
      <c r="E5" s="15" t="n">
        <f aca="false">B5*D5</f>
        <v>3116000</v>
      </c>
      <c r="F5" s="14" t="n">
        <f aca="false">E5/SUM(E$4:E$7)</f>
        <v>0.234365010717912</v>
      </c>
    </row>
    <row r="6" customFormat="false" ht="15" hidden="false" customHeight="false" outlineLevel="0" collapsed="false">
      <c r="A6" s="0" t="s">
        <v>80</v>
      </c>
      <c r="B6" s="24" t="n">
        <v>6800</v>
      </c>
      <c r="C6" s="14" t="n">
        <f aca="false">B6/34000</f>
        <v>0.2</v>
      </c>
      <c r="D6" s="10" t="n">
        <v>340</v>
      </c>
      <c r="E6" s="15" t="n">
        <f aca="false">B6*D6</f>
        <v>2312000</v>
      </c>
      <c r="F6" s="14" t="n">
        <f aca="false">E6/SUM(E$4:E$7)</f>
        <v>0.173893422586589</v>
      </c>
    </row>
    <row r="7" customFormat="false" ht="15" hidden="false" customHeight="false" outlineLevel="0" collapsed="false">
      <c r="A7" s="0" t="s">
        <v>81</v>
      </c>
      <c r="B7" s="24" t="n">
        <v>4500</v>
      </c>
      <c r="C7" s="14" t="n">
        <f aca="false">B7/34000</f>
        <v>0.132352941176471</v>
      </c>
      <c r="D7" s="10" t="n">
        <v>395</v>
      </c>
      <c r="E7" s="15" t="n">
        <f aca="false">B7*D7</f>
        <v>1777500</v>
      </c>
      <c r="F7" s="14" t="n">
        <f aca="false">E7/SUM(E$4:E$7)</f>
        <v>0.133691850626152</v>
      </c>
    </row>
    <row r="8" customFormat="false" ht="15" hidden="false" customHeight="false" outlineLevel="0" collapsed="false">
      <c r="A8" s="4" t="s">
        <v>82</v>
      </c>
      <c r="B8" s="4" t="n">
        <f aca="false">SUM(B4:B7)</f>
        <v>34000</v>
      </c>
      <c r="C8" s="4" t="s">
        <v>83</v>
      </c>
      <c r="E8" s="25" t="n">
        <f aca="false">SUM(E4:E7)</f>
        <v>13295500</v>
      </c>
      <c r="F8" s="4" t="s">
        <v>83</v>
      </c>
    </row>
    <row r="25" customFormat="false" ht="15" hidden="false" customHeight="false" outlineLevel="0" collapsed="false">
      <c r="A25" s="3" t="s">
        <v>84</v>
      </c>
      <c r="B25" s="3"/>
      <c r="C25" s="3"/>
      <c r="D25" s="3"/>
      <c r="E25" s="3"/>
      <c r="F25" s="3"/>
    </row>
    <row r="26" customFormat="false" ht="15" hidden="false" customHeight="true" outlineLevel="0" collapsed="false">
      <c r="A26" s="26" t="s">
        <v>85</v>
      </c>
      <c r="B26" s="26"/>
      <c r="C26" s="26"/>
      <c r="D26" s="26"/>
      <c r="E26" s="26"/>
      <c r="F26" s="26"/>
    </row>
    <row r="27" customFormat="false" ht="15" hidden="false" customHeight="true" outlineLevel="0" collapsed="false">
      <c r="A27" s="26" t="s">
        <v>86</v>
      </c>
      <c r="B27" s="26"/>
      <c r="C27" s="26"/>
      <c r="D27" s="26"/>
      <c r="E27" s="26"/>
      <c r="F27" s="26"/>
    </row>
    <row r="28" customFormat="false" ht="15" hidden="false" customHeight="true" outlineLevel="0" collapsed="false">
      <c r="A28" s="26" t="s">
        <v>87</v>
      </c>
      <c r="B28" s="26"/>
      <c r="C28" s="26"/>
      <c r="D28" s="26"/>
      <c r="E28" s="26"/>
      <c r="F28" s="26"/>
    </row>
    <row r="29" customFormat="false" ht="15" hidden="false" customHeight="true" outlineLevel="0" collapsed="false">
      <c r="A29" s="26" t="s">
        <v>88</v>
      </c>
      <c r="B29" s="26"/>
      <c r="C29" s="26"/>
      <c r="D29" s="26"/>
      <c r="E29" s="26"/>
      <c r="F29" s="26"/>
    </row>
  </sheetData>
  <mergeCells count="6">
    <mergeCell ref="A1:F1"/>
    <mergeCell ref="A25:F25"/>
    <mergeCell ref="A26:F26"/>
    <mergeCell ref="A27:F27"/>
    <mergeCell ref="A28:F2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6"/>
  </cols>
  <sheetData>
    <row r="1" customFormat="false" ht="24.75" hidden="false" customHeight="true" outlineLevel="0" collapsed="false">
      <c r="A1" s="16" t="s">
        <v>89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customFormat="false" ht="28.35" hidden="false" customHeight="false" outlineLevel="0" collapsed="false">
      <c r="A3" s="17" t="s">
        <v>90</v>
      </c>
      <c r="B3" s="17" t="s">
        <v>91</v>
      </c>
      <c r="C3" s="17" t="s">
        <v>92</v>
      </c>
      <c r="D3" s="17" t="s">
        <v>27</v>
      </c>
      <c r="E3" s="17" t="s">
        <v>32</v>
      </c>
      <c r="F3" s="17" t="s">
        <v>35</v>
      </c>
      <c r="G3" s="17" t="s">
        <v>38</v>
      </c>
      <c r="H3" s="17" t="s">
        <v>93</v>
      </c>
      <c r="I3" s="17" t="s">
        <v>94</v>
      </c>
      <c r="J3" s="17" t="s">
        <v>95</v>
      </c>
    </row>
    <row r="4" customFormat="false" ht="15" hidden="false" customHeight="false" outlineLevel="0" collapsed="false">
      <c r="A4" s="0" t="s">
        <v>96</v>
      </c>
      <c r="B4" s="0" t="s">
        <v>97</v>
      </c>
      <c r="D4" s="27" t="n">
        <v>436</v>
      </c>
      <c r="E4" s="27" t="n">
        <v>598</v>
      </c>
      <c r="F4" s="27" t="n">
        <v>781</v>
      </c>
      <c r="G4" s="27" t="n">
        <v>1092</v>
      </c>
      <c r="H4" s="11" t="n">
        <v>0.92</v>
      </c>
      <c r="I4" s="0" t="n">
        <v>88</v>
      </c>
      <c r="J4" s="28" t="s">
        <v>98</v>
      </c>
    </row>
    <row r="5" customFormat="false" ht="15" hidden="false" customHeight="false" outlineLevel="0" collapsed="false">
      <c r="A5" s="0" t="s">
        <v>99</v>
      </c>
      <c r="B5" s="0" t="s">
        <v>100</v>
      </c>
      <c r="D5" s="27" t="n">
        <v>436</v>
      </c>
      <c r="E5" s="27" t="n">
        <v>598</v>
      </c>
      <c r="F5" s="27" t="n">
        <v>781</v>
      </c>
      <c r="G5" s="27" t="n">
        <v>1092</v>
      </c>
      <c r="H5" s="11" t="n">
        <v>0.92</v>
      </c>
      <c r="I5" s="0" t="n">
        <v>88</v>
      </c>
      <c r="J5" s="28" t="s">
        <v>98</v>
      </c>
    </row>
    <row r="6" customFormat="false" ht="15" hidden="false" customHeight="false" outlineLevel="0" collapsed="false">
      <c r="A6" s="0" t="s">
        <v>101</v>
      </c>
      <c r="B6" s="0" t="s">
        <v>102</v>
      </c>
      <c r="D6" s="27" t="n">
        <v>475</v>
      </c>
      <c r="E6" s="27" t="n">
        <v>650</v>
      </c>
      <c r="F6" s="27" t="n">
        <v>850</v>
      </c>
      <c r="G6" s="27" t="n">
        <v>1187</v>
      </c>
      <c r="H6" s="11" t="n">
        <v>0.95</v>
      </c>
      <c r="I6" s="0" t="n">
        <v>95</v>
      </c>
      <c r="J6" s="20" t="s">
        <v>103</v>
      </c>
    </row>
    <row r="7" customFormat="false" ht="15" hidden="false" customHeight="false" outlineLevel="0" collapsed="false">
      <c r="A7" s="0" t="s">
        <v>104</v>
      </c>
      <c r="B7" s="0" t="s">
        <v>105</v>
      </c>
      <c r="D7" s="27" t="n">
        <v>475</v>
      </c>
      <c r="E7" s="27" t="n">
        <v>650</v>
      </c>
      <c r="F7" s="27" t="n">
        <v>850</v>
      </c>
      <c r="G7" s="27" t="n">
        <v>1187</v>
      </c>
      <c r="H7" s="11" t="n">
        <v>0.95</v>
      </c>
      <c r="I7" s="0" t="n">
        <v>95</v>
      </c>
      <c r="J7" s="20" t="s">
        <v>103</v>
      </c>
    </row>
    <row r="8" customFormat="false" ht="15" hidden="false" customHeight="false" outlineLevel="0" collapsed="false">
      <c r="A8" s="0" t="s">
        <v>106</v>
      </c>
      <c r="B8" s="0" t="s">
        <v>107</v>
      </c>
      <c r="D8" s="27" t="n">
        <v>399</v>
      </c>
      <c r="E8" s="27" t="n">
        <v>546</v>
      </c>
      <c r="F8" s="27" t="n">
        <v>714</v>
      </c>
      <c r="G8" s="27" t="n">
        <v>997</v>
      </c>
      <c r="H8" s="11" t="n">
        <v>0.88</v>
      </c>
      <c r="I8" s="0" t="n">
        <v>82</v>
      </c>
      <c r="J8" s="13" t="s">
        <v>108</v>
      </c>
    </row>
    <row r="9" customFormat="false" ht="15" hidden="false" customHeight="false" outlineLevel="0" collapsed="false">
      <c r="A9" s="0" t="s">
        <v>109</v>
      </c>
      <c r="B9" s="0" t="s">
        <v>110</v>
      </c>
      <c r="D9" s="27" t="n">
        <v>436</v>
      </c>
      <c r="E9" s="27" t="n">
        <v>598</v>
      </c>
      <c r="F9" s="27" t="n">
        <v>781</v>
      </c>
      <c r="G9" s="27" t="n">
        <v>1092</v>
      </c>
      <c r="H9" s="11" t="n">
        <v>0.92</v>
      </c>
      <c r="I9" s="0" t="n">
        <v>88</v>
      </c>
      <c r="J9" s="28" t="s">
        <v>98</v>
      </c>
    </row>
    <row r="10" customFormat="false" ht="15" hidden="false" customHeight="false" outlineLevel="0" collapsed="false">
      <c r="A10" s="0" t="s">
        <v>111</v>
      </c>
      <c r="B10" s="0" t="s">
        <v>112</v>
      </c>
      <c r="D10" s="27" t="n">
        <v>436</v>
      </c>
      <c r="E10" s="27" t="n">
        <v>598</v>
      </c>
      <c r="F10" s="27" t="n">
        <v>781</v>
      </c>
      <c r="G10" s="27" t="n">
        <v>1092</v>
      </c>
      <c r="H10" s="11" t="n">
        <v>0.92</v>
      </c>
      <c r="I10" s="0" t="n">
        <v>88</v>
      </c>
      <c r="J10" s="28" t="s">
        <v>98</v>
      </c>
    </row>
    <row r="11" customFormat="false" ht="15" hidden="false" customHeight="false" outlineLevel="0" collapsed="false">
      <c r="A11" s="0" t="s">
        <v>113</v>
      </c>
      <c r="B11" s="0" t="s">
        <v>97</v>
      </c>
      <c r="D11" s="27" t="n">
        <v>436</v>
      </c>
      <c r="E11" s="27" t="n">
        <v>598</v>
      </c>
      <c r="F11" s="27" t="n">
        <v>781</v>
      </c>
      <c r="G11" s="27" t="n">
        <v>1092</v>
      </c>
      <c r="H11" s="11" t="n">
        <v>0.92</v>
      </c>
      <c r="I11" s="0" t="n">
        <v>88</v>
      </c>
      <c r="J11" s="28" t="s">
        <v>98</v>
      </c>
    </row>
    <row r="12" customFormat="false" ht="15" hidden="false" customHeight="false" outlineLevel="0" collapsed="false">
      <c r="A12" s="0" t="s">
        <v>114</v>
      </c>
      <c r="B12" s="0" t="s">
        <v>100</v>
      </c>
      <c r="D12" s="27" t="n">
        <v>436</v>
      </c>
      <c r="E12" s="27" t="n">
        <v>598</v>
      </c>
      <c r="F12" s="27" t="n">
        <v>781</v>
      </c>
      <c r="G12" s="27" t="n">
        <v>1092</v>
      </c>
      <c r="H12" s="11" t="n">
        <v>0.92</v>
      </c>
      <c r="I12" s="0" t="n">
        <v>88</v>
      </c>
      <c r="J12" s="28" t="s">
        <v>98</v>
      </c>
    </row>
    <row r="13" customFormat="false" ht="15" hidden="false" customHeight="false" outlineLevel="0" collapsed="false">
      <c r="A13" s="0" t="s">
        <v>115</v>
      </c>
      <c r="B13" s="0" t="s">
        <v>102</v>
      </c>
      <c r="D13" s="27" t="n">
        <v>475</v>
      </c>
      <c r="E13" s="27" t="n">
        <v>650</v>
      </c>
      <c r="F13" s="27" t="n">
        <v>850</v>
      </c>
      <c r="G13" s="27" t="n">
        <v>1187</v>
      </c>
      <c r="H13" s="11" t="n">
        <v>0.95</v>
      </c>
      <c r="I13" s="0" t="n">
        <v>95</v>
      </c>
      <c r="J13" s="20" t="s">
        <v>103</v>
      </c>
    </row>
    <row r="14" customFormat="false" ht="15" hidden="false" customHeight="false" outlineLevel="0" collapsed="false">
      <c r="A14" s="0" t="s">
        <v>116</v>
      </c>
      <c r="B14" s="0" t="s">
        <v>105</v>
      </c>
      <c r="D14" s="27" t="n">
        <v>475</v>
      </c>
      <c r="E14" s="27" t="n">
        <v>650</v>
      </c>
      <c r="F14" s="27" t="n">
        <v>850</v>
      </c>
      <c r="G14" s="27" t="n">
        <v>1187</v>
      </c>
      <c r="H14" s="11" t="n">
        <v>0.95</v>
      </c>
      <c r="I14" s="0" t="n">
        <v>95</v>
      </c>
      <c r="J14" s="20" t="s">
        <v>103</v>
      </c>
    </row>
    <row r="15" customFormat="false" ht="15" hidden="false" customHeight="false" outlineLevel="0" collapsed="false">
      <c r="A15" s="0" t="s">
        <v>117</v>
      </c>
      <c r="B15" s="0" t="s">
        <v>107</v>
      </c>
      <c r="D15" s="27" t="n">
        <v>399</v>
      </c>
      <c r="E15" s="27" t="n">
        <v>546</v>
      </c>
      <c r="F15" s="27" t="n">
        <v>714</v>
      </c>
      <c r="G15" s="27" t="n">
        <v>997</v>
      </c>
      <c r="H15" s="11" t="n">
        <v>0.88</v>
      </c>
      <c r="I15" s="0" t="n">
        <v>82</v>
      </c>
      <c r="J15" s="13" t="s">
        <v>108</v>
      </c>
    </row>
    <row r="16" customFormat="false" ht="15" hidden="false" customHeight="false" outlineLevel="0" collapsed="false">
      <c r="A16" s="0" t="s">
        <v>118</v>
      </c>
      <c r="B16" s="0" t="s">
        <v>110</v>
      </c>
      <c r="D16" s="27" t="n">
        <v>436</v>
      </c>
      <c r="E16" s="27" t="n">
        <v>598</v>
      </c>
      <c r="F16" s="27" t="n">
        <v>781</v>
      </c>
      <c r="G16" s="27" t="n">
        <v>1092</v>
      </c>
      <c r="H16" s="11" t="n">
        <v>0.92</v>
      </c>
      <c r="I16" s="0" t="n">
        <v>88</v>
      </c>
      <c r="J16" s="28" t="s">
        <v>98</v>
      </c>
    </row>
    <row r="17" customFormat="false" ht="15" hidden="false" customHeight="false" outlineLevel="0" collapsed="false">
      <c r="A17" s="0" t="s">
        <v>119</v>
      </c>
      <c r="B17" s="0" t="s">
        <v>112</v>
      </c>
      <c r="C17" s="0" t="s">
        <v>120</v>
      </c>
      <c r="D17" s="27" t="n">
        <v>475</v>
      </c>
      <c r="E17" s="27" t="n">
        <v>650</v>
      </c>
      <c r="F17" s="27" t="n">
        <v>850</v>
      </c>
      <c r="G17" s="27" t="n">
        <v>1187</v>
      </c>
      <c r="H17" s="11" t="n">
        <v>0.97</v>
      </c>
      <c r="I17" s="0" t="n">
        <v>98</v>
      </c>
      <c r="J17" s="20" t="s">
        <v>103</v>
      </c>
    </row>
    <row r="18" customFormat="false" ht="15" hidden="false" customHeight="false" outlineLevel="0" collapsed="false">
      <c r="A18" s="0" t="s">
        <v>121</v>
      </c>
      <c r="B18" s="0" t="s">
        <v>97</v>
      </c>
      <c r="C18" s="0" t="s">
        <v>120</v>
      </c>
      <c r="D18" s="27" t="n">
        <v>475</v>
      </c>
      <c r="E18" s="27" t="n">
        <v>650</v>
      </c>
      <c r="F18" s="27" t="n">
        <v>850</v>
      </c>
      <c r="G18" s="27" t="n">
        <v>1187</v>
      </c>
      <c r="H18" s="11" t="n">
        <v>0.97</v>
      </c>
      <c r="I18" s="0" t="n">
        <v>98</v>
      </c>
      <c r="J18" s="20" t="s">
        <v>103</v>
      </c>
    </row>
    <row r="19" customFormat="false" ht="15" hidden="false" customHeight="false" outlineLevel="0" collapsed="false">
      <c r="A19" s="0" t="s">
        <v>122</v>
      </c>
      <c r="B19" s="0" t="s">
        <v>100</v>
      </c>
      <c r="D19" s="27" t="n">
        <v>436</v>
      </c>
      <c r="E19" s="27" t="n">
        <v>598</v>
      </c>
      <c r="F19" s="27" t="n">
        <v>781</v>
      </c>
      <c r="G19" s="27" t="n">
        <v>1092</v>
      </c>
      <c r="H19" s="11" t="n">
        <v>0.92</v>
      </c>
      <c r="I19" s="0" t="n">
        <v>88</v>
      </c>
      <c r="J19" s="28" t="s">
        <v>98</v>
      </c>
    </row>
    <row r="20" customFormat="false" ht="15" hidden="false" customHeight="false" outlineLevel="0" collapsed="false">
      <c r="A20" s="0" t="s">
        <v>123</v>
      </c>
      <c r="B20" s="0" t="s">
        <v>102</v>
      </c>
      <c r="D20" s="27" t="n">
        <v>475</v>
      </c>
      <c r="E20" s="27" t="n">
        <v>650</v>
      </c>
      <c r="F20" s="27" t="n">
        <v>850</v>
      </c>
      <c r="G20" s="27" t="n">
        <v>1187</v>
      </c>
      <c r="H20" s="11" t="n">
        <v>0.95</v>
      </c>
      <c r="I20" s="0" t="n">
        <v>95</v>
      </c>
      <c r="J20" s="20" t="s">
        <v>103</v>
      </c>
    </row>
    <row r="21" customFormat="false" ht="15" hidden="false" customHeight="false" outlineLevel="0" collapsed="false">
      <c r="A21" s="0" t="s">
        <v>124</v>
      </c>
      <c r="B21" s="0" t="s">
        <v>105</v>
      </c>
      <c r="D21" s="27" t="n">
        <v>475</v>
      </c>
      <c r="E21" s="27" t="n">
        <v>650</v>
      </c>
      <c r="F21" s="27" t="n">
        <v>850</v>
      </c>
      <c r="G21" s="27" t="n">
        <v>1187</v>
      </c>
      <c r="H21" s="11" t="n">
        <v>0.95</v>
      </c>
      <c r="I21" s="0" t="n">
        <v>95</v>
      </c>
      <c r="J21" s="20" t="s">
        <v>103</v>
      </c>
    </row>
    <row r="22" customFormat="false" ht="15" hidden="false" customHeight="false" outlineLevel="0" collapsed="false">
      <c r="A22" s="0" t="s">
        <v>125</v>
      </c>
      <c r="B22" s="0" t="s">
        <v>107</v>
      </c>
      <c r="D22" s="27" t="n">
        <v>399</v>
      </c>
      <c r="E22" s="27" t="n">
        <v>546</v>
      </c>
      <c r="F22" s="27" t="n">
        <v>714</v>
      </c>
      <c r="G22" s="27" t="n">
        <v>997</v>
      </c>
      <c r="H22" s="11" t="n">
        <v>0.88</v>
      </c>
      <c r="I22" s="0" t="n">
        <v>82</v>
      </c>
      <c r="J22" s="13" t="s">
        <v>108</v>
      </c>
    </row>
    <row r="23" customFormat="false" ht="15" hidden="false" customHeight="false" outlineLevel="0" collapsed="false">
      <c r="A23" s="0" t="s">
        <v>126</v>
      </c>
      <c r="B23" s="0" t="s">
        <v>110</v>
      </c>
      <c r="D23" s="27" t="n">
        <v>436</v>
      </c>
      <c r="E23" s="27" t="n">
        <v>598</v>
      </c>
      <c r="F23" s="27" t="n">
        <v>781</v>
      </c>
      <c r="G23" s="27" t="n">
        <v>1092</v>
      </c>
      <c r="H23" s="11" t="n">
        <v>0.92</v>
      </c>
      <c r="I23" s="0" t="n">
        <v>88</v>
      </c>
      <c r="J23" s="28" t="s">
        <v>98</v>
      </c>
    </row>
    <row r="24" customFormat="false" ht="15" hidden="false" customHeight="false" outlineLevel="0" collapsed="false">
      <c r="A24" s="0" t="s">
        <v>127</v>
      </c>
      <c r="B24" s="0" t="s">
        <v>112</v>
      </c>
      <c r="D24" s="27" t="n">
        <v>436</v>
      </c>
      <c r="E24" s="27" t="n">
        <v>598</v>
      </c>
      <c r="F24" s="27" t="n">
        <v>781</v>
      </c>
      <c r="G24" s="27" t="n">
        <v>1092</v>
      </c>
      <c r="H24" s="11" t="n">
        <v>0.92</v>
      </c>
      <c r="I24" s="0" t="n">
        <v>88</v>
      </c>
      <c r="J24" s="28" t="s">
        <v>98</v>
      </c>
    </row>
    <row r="25" customFormat="false" ht="15" hidden="false" customHeight="false" outlineLevel="0" collapsed="false">
      <c r="A25" s="0" t="s">
        <v>128</v>
      </c>
      <c r="B25" s="0" t="s">
        <v>97</v>
      </c>
      <c r="D25" s="27" t="n">
        <v>436</v>
      </c>
      <c r="E25" s="27" t="n">
        <v>598</v>
      </c>
      <c r="F25" s="27" t="n">
        <v>781</v>
      </c>
      <c r="G25" s="27" t="n">
        <v>1092</v>
      </c>
      <c r="H25" s="11" t="n">
        <v>0.92</v>
      </c>
      <c r="I25" s="0" t="n">
        <v>88</v>
      </c>
      <c r="J25" s="28" t="s">
        <v>98</v>
      </c>
    </row>
    <row r="26" customFormat="false" ht="15" hidden="false" customHeight="false" outlineLevel="0" collapsed="false">
      <c r="A26" s="0" t="s">
        <v>129</v>
      </c>
      <c r="B26" s="0" t="s">
        <v>100</v>
      </c>
      <c r="D26" s="27" t="n">
        <v>436</v>
      </c>
      <c r="E26" s="27" t="n">
        <v>598</v>
      </c>
      <c r="F26" s="27" t="n">
        <v>781</v>
      </c>
      <c r="G26" s="27" t="n">
        <v>1092</v>
      </c>
      <c r="H26" s="11" t="n">
        <v>0.92</v>
      </c>
      <c r="I26" s="0" t="n">
        <v>88</v>
      </c>
      <c r="J26" s="28" t="s">
        <v>98</v>
      </c>
    </row>
    <row r="27" customFormat="false" ht="15" hidden="false" customHeight="false" outlineLevel="0" collapsed="false">
      <c r="A27" s="0" t="s">
        <v>130</v>
      </c>
      <c r="B27" s="0" t="s">
        <v>102</v>
      </c>
      <c r="C27" s="0" t="s">
        <v>131</v>
      </c>
      <c r="D27" s="27" t="n">
        <v>475</v>
      </c>
      <c r="E27" s="27" t="n">
        <v>650</v>
      </c>
      <c r="F27" s="27" t="n">
        <v>850</v>
      </c>
      <c r="G27" s="27" t="n">
        <v>1187</v>
      </c>
      <c r="H27" s="11" t="n">
        <v>0.97</v>
      </c>
      <c r="I27" s="0" t="n">
        <v>98</v>
      </c>
      <c r="J27" s="20" t="s">
        <v>103</v>
      </c>
    </row>
    <row r="28" customFormat="false" ht="15" hidden="false" customHeight="false" outlineLevel="0" collapsed="false">
      <c r="A28" s="0" t="s">
        <v>132</v>
      </c>
      <c r="B28" s="0" t="s">
        <v>105</v>
      </c>
      <c r="C28" s="0" t="s">
        <v>133</v>
      </c>
      <c r="D28" s="27" t="n">
        <v>475</v>
      </c>
      <c r="E28" s="27" t="n">
        <v>650</v>
      </c>
      <c r="F28" s="27" t="n">
        <v>850</v>
      </c>
      <c r="G28" s="27" t="n">
        <v>1187</v>
      </c>
      <c r="H28" s="11" t="n">
        <v>0.97</v>
      </c>
      <c r="I28" s="0" t="n">
        <v>98</v>
      </c>
      <c r="J28" s="20" t="s">
        <v>103</v>
      </c>
    </row>
    <row r="29" customFormat="false" ht="15" hidden="false" customHeight="false" outlineLevel="0" collapsed="false">
      <c r="A29" s="0" t="s">
        <v>134</v>
      </c>
      <c r="B29" s="0" t="s">
        <v>107</v>
      </c>
      <c r="D29" s="27" t="n">
        <v>399</v>
      </c>
      <c r="E29" s="27" t="n">
        <v>546</v>
      </c>
      <c r="F29" s="27" t="n">
        <v>714</v>
      </c>
      <c r="G29" s="27" t="n">
        <v>997</v>
      </c>
      <c r="H29" s="11" t="n">
        <v>0.88</v>
      </c>
      <c r="I29" s="0" t="n">
        <v>82</v>
      </c>
      <c r="J29" s="13" t="s">
        <v>108</v>
      </c>
    </row>
    <row r="30" customFormat="false" ht="15" hidden="false" customHeight="false" outlineLevel="0" collapsed="false">
      <c r="A30" s="0" t="s">
        <v>135</v>
      </c>
      <c r="B30" s="0" t="s">
        <v>110</v>
      </c>
      <c r="D30" s="27" t="n">
        <v>436</v>
      </c>
      <c r="E30" s="27" t="n">
        <v>598</v>
      </c>
      <c r="F30" s="27" t="n">
        <v>781</v>
      </c>
      <c r="G30" s="27" t="n">
        <v>1092</v>
      </c>
      <c r="H30" s="11" t="n">
        <v>0.92</v>
      </c>
      <c r="I30" s="0" t="n">
        <v>88</v>
      </c>
      <c r="J30" s="28" t="s">
        <v>98</v>
      </c>
    </row>
    <row r="31" customFormat="false" ht="15" hidden="false" customHeight="false" outlineLevel="0" collapsed="false">
      <c r="A31" s="0" t="s">
        <v>136</v>
      </c>
      <c r="B31" s="0" t="s">
        <v>112</v>
      </c>
      <c r="D31" s="27" t="n">
        <v>436</v>
      </c>
      <c r="E31" s="27" t="n">
        <v>598</v>
      </c>
      <c r="F31" s="27" t="n">
        <v>781</v>
      </c>
      <c r="G31" s="27" t="n">
        <v>1092</v>
      </c>
      <c r="H31" s="11" t="n">
        <v>0.92</v>
      </c>
      <c r="I31" s="0" t="n">
        <v>88</v>
      </c>
      <c r="J31" s="28" t="s">
        <v>98</v>
      </c>
    </row>
    <row r="32" customFormat="false" ht="15" hidden="false" customHeight="false" outlineLevel="0" collapsed="false">
      <c r="A32" s="0" t="s">
        <v>137</v>
      </c>
      <c r="B32" s="0" t="s">
        <v>97</v>
      </c>
      <c r="D32" s="27" t="n">
        <v>436</v>
      </c>
      <c r="E32" s="27" t="n">
        <v>598</v>
      </c>
      <c r="F32" s="27" t="n">
        <v>781</v>
      </c>
      <c r="G32" s="27" t="n">
        <v>1092</v>
      </c>
      <c r="H32" s="11" t="n">
        <v>0.92</v>
      </c>
      <c r="I32" s="0" t="n">
        <v>88</v>
      </c>
      <c r="J32" s="28" t="s">
        <v>98</v>
      </c>
    </row>
    <row r="33" customFormat="false" ht="15" hidden="false" customHeight="false" outlineLevel="0" collapsed="false">
      <c r="A33" s="0" t="s">
        <v>138</v>
      </c>
      <c r="B33" s="0" t="s">
        <v>100</v>
      </c>
      <c r="D33" s="27" t="n">
        <v>436</v>
      </c>
      <c r="E33" s="27" t="n">
        <v>598</v>
      </c>
      <c r="F33" s="27" t="n">
        <v>781</v>
      </c>
      <c r="G33" s="27" t="n">
        <v>1092</v>
      </c>
      <c r="H33" s="11" t="n">
        <v>0.92</v>
      </c>
      <c r="I33" s="0" t="n">
        <v>88</v>
      </c>
      <c r="J33" s="28" t="s">
        <v>98</v>
      </c>
    </row>
    <row r="34" customFormat="false" ht="15" hidden="false" customHeight="false" outlineLevel="0" collapsed="false">
      <c r="A34" s="0" t="s">
        <v>139</v>
      </c>
      <c r="B34" s="0" t="s">
        <v>102</v>
      </c>
      <c r="D34" s="27" t="n">
        <v>475</v>
      </c>
      <c r="E34" s="27" t="n">
        <v>650</v>
      </c>
      <c r="F34" s="27" t="n">
        <v>850</v>
      </c>
      <c r="G34" s="27" t="n">
        <v>1187</v>
      </c>
      <c r="H34" s="11" t="n">
        <v>0.95</v>
      </c>
      <c r="I34" s="0" t="n">
        <v>95</v>
      </c>
      <c r="J34" s="20" t="s">
        <v>103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10" min="9" style="0" width="12"/>
  </cols>
  <sheetData>
    <row r="1" customFormat="false" ht="19.7" hidden="false" customHeight="false" outlineLevel="0" collapsed="false">
      <c r="A1" s="16" t="s">
        <v>140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3" customFormat="false" ht="28.35" hidden="false" customHeight="false" outlineLevel="0" collapsed="false">
      <c r="A3" s="17" t="s">
        <v>43</v>
      </c>
      <c r="B3" s="17" t="s">
        <v>44</v>
      </c>
      <c r="C3" s="17" t="s">
        <v>93</v>
      </c>
      <c r="D3" s="17" t="s">
        <v>141</v>
      </c>
      <c r="E3" s="17" t="s">
        <v>142</v>
      </c>
      <c r="F3" s="17" t="s">
        <v>143</v>
      </c>
      <c r="G3" s="17" t="s">
        <v>144</v>
      </c>
      <c r="H3" s="17" t="s">
        <v>145</v>
      </c>
      <c r="I3" s="17" t="s">
        <v>146</v>
      </c>
      <c r="J3" s="17" t="s">
        <v>147</v>
      </c>
    </row>
    <row r="4" customFormat="false" ht="15" hidden="false" customHeight="false" outlineLevel="0" collapsed="false">
      <c r="A4" s="0" t="s">
        <v>67</v>
      </c>
      <c r="B4" s="0" t="s">
        <v>66</v>
      </c>
      <c r="C4" s="11" t="n">
        <v>0.94</v>
      </c>
      <c r="D4" s="15" t="n">
        <v>495</v>
      </c>
      <c r="E4" s="15" t="n">
        <v>465.3</v>
      </c>
      <c r="F4" s="15" t="n">
        <v>1675080</v>
      </c>
      <c r="G4" s="15" t="n">
        <v>586278</v>
      </c>
      <c r="H4" s="15" t="n">
        <v>2261358</v>
      </c>
      <c r="I4" s="28" t="s">
        <v>148</v>
      </c>
      <c r="J4" s="13" t="s">
        <v>149</v>
      </c>
    </row>
    <row r="5" customFormat="false" ht="15" hidden="false" customHeight="false" outlineLevel="0" collapsed="false">
      <c r="A5" s="0" t="s">
        <v>68</v>
      </c>
      <c r="B5" s="0" t="s">
        <v>66</v>
      </c>
      <c r="C5" s="11" t="n">
        <v>0.95</v>
      </c>
      <c r="D5" s="15" t="n">
        <v>510</v>
      </c>
      <c r="E5" s="15" t="n">
        <v>484.5</v>
      </c>
      <c r="F5" s="15" t="n">
        <v>1744200</v>
      </c>
      <c r="G5" s="15" t="n">
        <v>610470</v>
      </c>
      <c r="H5" s="15" t="n">
        <v>2354670</v>
      </c>
      <c r="I5" s="28" t="s">
        <v>148</v>
      </c>
      <c r="J5" s="13" t="s">
        <v>149</v>
      </c>
    </row>
    <row r="6" customFormat="false" ht="15" hidden="false" customHeight="false" outlineLevel="0" collapsed="false">
      <c r="A6" s="0" t="s">
        <v>69</v>
      </c>
      <c r="B6" s="0" t="s">
        <v>63</v>
      </c>
      <c r="C6" s="11" t="n">
        <v>0.82</v>
      </c>
      <c r="D6" s="15" t="n">
        <v>400</v>
      </c>
      <c r="E6" s="15" t="n">
        <v>328</v>
      </c>
      <c r="F6" s="15" t="n">
        <v>1180800</v>
      </c>
      <c r="G6" s="15" t="n">
        <v>413280</v>
      </c>
      <c r="H6" s="15" t="n">
        <v>1594080</v>
      </c>
      <c r="I6" s="13" t="s">
        <v>61</v>
      </c>
      <c r="J6" s="13" t="s">
        <v>150</v>
      </c>
    </row>
    <row r="7" customFormat="false" ht="15" hidden="false" customHeight="false" outlineLevel="0" collapsed="false">
      <c r="A7" s="0" t="s">
        <v>70</v>
      </c>
      <c r="B7" s="0" t="s">
        <v>63</v>
      </c>
      <c r="C7" s="11" t="n">
        <v>0.76</v>
      </c>
      <c r="D7" s="15" t="n">
        <v>365</v>
      </c>
      <c r="E7" s="15" t="n">
        <v>277.4</v>
      </c>
      <c r="F7" s="15" t="n">
        <v>998640</v>
      </c>
      <c r="G7" s="15" t="n">
        <v>349524</v>
      </c>
      <c r="H7" s="15" t="n">
        <v>1348164</v>
      </c>
      <c r="I7" s="13" t="s">
        <v>61</v>
      </c>
      <c r="J7" s="13" t="s">
        <v>150</v>
      </c>
    </row>
    <row r="8" customFormat="false" ht="15" hidden="false" customHeight="false" outlineLevel="0" collapsed="false">
      <c r="A8" s="0" t="s">
        <v>71</v>
      </c>
      <c r="B8" s="0" t="s">
        <v>58</v>
      </c>
      <c r="C8" s="11" t="n">
        <v>0.52</v>
      </c>
      <c r="D8" s="15" t="n">
        <v>270</v>
      </c>
      <c r="E8" s="15" t="n">
        <v>140.4</v>
      </c>
      <c r="F8" s="15" t="n">
        <v>505440</v>
      </c>
      <c r="G8" s="15" t="n">
        <v>176904</v>
      </c>
      <c r="H8" s="15" t="n">
        <v>682344</v>
      </c>
      <c r="I8" s="13" t="s">
        <v>61</v>
      </c>
      <c r="J8" s="13" t="s">
        <v>150</v>
      </c>
    </row>
    <row r="9" customFormat="false" ht="15" hidden="false" customHeight="false" outlineLevel="0" collapsed="false">
      <c r="A9" s="0" t="s">
        <v>72</v>
      </c>
      <c r="B9" s="0" t="s">
        <v>58</v>
      </c>
      <c r="C9" s="11" t="n">
        <v>0.48</v>
      </c>
      <c r="D9" s="15" t="n">
        <v>255</v>
      </c>
      <c r="E9" s="15" t="n">
        <v>122.4</v>
      </c>
      <c r="F9" s="15" t="n">
        <v>440640</v>
      </c>
      <c r="G9" s="15" t="n">
        <v>154224</v>
      </c>
      <c r="H9" s="15" t="n">
        <v>594864</v>
      </c>
      <c r="I9" s="29" t="s">
        <v>149</v>
      </c>
      <c r="J9" s="13" t="s">
        <v>151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8" min="7" style="0" width="18"/>
  </cols>
  <sheetData>
    <row r="1" customFormat="false" ht="19.7" hidden="false" customHeight="false" outlineLevel="0" collapsed="false">
      <c r="A1" s="16" t="s">
        <v>152</v>
      </c>
      <c r="B1" s="16"/>
      <c r="C1" s="16"/>
      <c r="D1" s="16"/>
      <c r="E1" s="16"/>
      <c r="F1" s="16"/>
      <c r="G1" s="16"/>
      <c r="H1" s="16"/>
    </row>
    <row r="3" customFormat="false" ht="28.35" hidden="false" customHeight="false" outlineLevel="0" collapsed="false">
      <c r="A3" s="17" t="s">
        <v>153</v>
      </c>
      <c r="B3" s="17" t="s">
        <v>154</v>
      </c>
      <c r="C3" s="17" t="s">
        <v>155</v>
      </c>
      <c r="D3" s="17" t="s">
        <v>156</v>
      </c>
      <c r="E3" s="17" t="s">
        <v>157</v>
      </c>
      <c r="F3" s="17" t="s">
        <v>158</v>
      </c>
      <c r="G3" s="17" t="s">
        <v>159</v>
      </c>
      <c r="H3" s="17" t="s">
        <v>160</v>
      </c>
    </row>
    <row r="4" customFormat="false" ht="15" hidden="false" customHeight="false" outlineLevel="0" collapsed="false">
      <c r="A4" s="28" t="s">
        <v>161</v>
      </c>
      <c r="B4" s="13" t="s">
        <v>162</v>
      </c>
      <c r="C4" s="0" t="n">
        <v>120</v>
      </c>
      <c r="D4" s="15" t="n">
        <v>465</v>
      </c>
      <c r="E4" s="11" t="n">
        <v>0.94</v>
      </c>
      <c r="F4" s="15" t="n">
        <v>495</v>
      </c>
      <c r="G4" s="13" t="s">
        <v>163</v>
      </c>
      <c r="H4" s="13" t="s">
        <v>164</v>
      </c>
    </row>
    <row r="5" customFormat="false" ht="15" hidden="false" customHeight="false" outlineLevel="0" collapsed="false">
      <c r="A5" s="0" t="s">
        <v>165</v>
      </c>
      <c r="B5" s="0" t="s">
        <v>166</v>
      </c>
      <c r="C5" s="0" t="n">
        <v>145</v>
      </c>
      <c r="D5" s="15" t="n">
        <v>520</v>
      </c>
      <c r="E5" s="11" t="n">
        <v>0.96</v>
      </c>
      <c r="F5" s="15" t="n">
        <v>542</v>
      </c>
      <c r="G5" s="13" t="s">
        <v>167</v>
      </c>
      <c r="H5" s="13" t="s">
        <v>168</v>
      </c>
    </row>
    <row r="6" customFormat="false" ht="15" hidden="false" customHeight="false" outlineLevel="0" collapsed="false">
      <c r="A6" s="0" t="s">
        <v>169</v>
      </c>
      <c r="B6" s="0" t="s">
        <v>170</v>
      </c>
      <c r="C6" s="0" t="n">
        <v>318</v>
      </c>
      <c r="D6" s="15" t="n">
        <v>380</v>
      </c>
      <c r="E6" s="11" t="n">
        <v>0.88</v>
      </c>
      <c r="F6" s="15" t="n">
        <v>432</v>
      </c>
      <c r="G6" s="13" t="s">
        <v>171</v>
      </c>
      <c r="H6" s="13" t="s">
        <v>172</v>
      </c>
    </row>
    <row r="7" customFormat="false" ht="15" hidden="false" customHeight="false" outlineLevel="0" collapsed="false">
      <c r="A7" s="0" t="s">
        <v>173</v>
      </c>
      <c r="B7" s="0" t="s">
        <v>162</v>
      </c>
      <c r="C7" s="0" t="n">
        <v>160</v>
      </c>
      <c r="D7" s="15" t="n">
        <v>410</v>
      </c>
      <c r="E7" s="11" t="n">
        <v>0.91</v>
      </c>
      <c r="F7" s="15" t="n">
        <v>451</v>
      </c>
      <c r="G7" s="13" t="s">
        <v>171</v>
      </c>
      <c r="H7" s="13" t="s">
        <v>174</v>
      </c>
    </row>
    <row r="9" customFormat="false" ht="15" hidden="false" customHeight="false" outlineLevel="0" collapsed="false">
      <c r="A9" s="30" t="s">
        <v>175</v>
      </c>
      <c r="B9" s="30"/>
      <c r="C9" s="30"/>
      <c r="D9" s="30"/>
    </row>
    <row r="10" customFormat="false" ht="15" hidden="false" customHeight="false" outlineLevel="0" collapsed="false">
      <c r="A10" s="0" t="s">
        <v>176</v>
      </c>
      <c r="B10" s="15" t="n">
        <f aca="false">D4</f>
        <v>465</v>
      </c>
    </row>
    <row r="11" customFormat="false" ht="15" hidden="false" customHeight="false" outlineLevel="0" collapsed="false">
      <c r="A11" s="0" t="s">
        <v>177</v>
      </c>
      <c r="B11" s="15" t="n">
        <f aca="false">AVERAGE(D5:D7)</f>
        <v>436.666666666667</v>
      </c>
    </row>
    <row r="12" customFormat="false" ht="16.15" hidden="false" customHeight="false" outlineLevel="0" collapsed="false">
      <c r="A12" s="0" t="s">
        <v>178</v>
      </c>
      <c r="B12" s="31" t="n">
        <f aca="false">B10/B11</f>
        <v>1.06488549618321</v>
      </c>
    </row>
    <row r="13" customFormat="false" ht="15" hidden="false" customHeight="false" outlineLevel="0" collapsed="false">
      <c r="A13" s="0" t="s">
        <v>179</v>
      </c>
      <c r="B13" s="32" t="str">
        <f aca="false">IF(B12&gt;1.05,"Fair Share Supérieur ✓",IF(B12&lt;0.95,"Sous-performance","Fair Share Normal"))</f>
        <v>Fair Share Supérieur ✓</v>
      </c>
      <c r="C13" s="32"/>
      <c r="D13" s="32"/>
    </row>
  </sheetData>
  <mergeCells count="3">
    <mergeCell ref="A1:H1"/>
    <mergeCell ref="A9:D9"/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2026-05-10T17:35:11Z</dcterms:created>
  <dc:creator>openpyxl</dc:creator>
  <dc:description/>
  <dc:language>en-US</dc:language>
  <cp:lastModifiedBy/>
  <dcterms:modified xsi:type="dcterms:W3CDTF">2026-05-10T17:35:19Z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