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uide KPI &amp; Méthodologie" sheetId="2" state="visible" r:id="rId4"/>
    <sheet name="Calendrier Pricing" sheetId="3" state="visible" r:id="rId5"/>
    <sheet name="Moteur de Calcul" sheetId="4" state="visible" r:id="rId6"/>
    <sheet name="Données &amp; Forecast" sheetId="5" state="visible" r:id="rId7"/>
    <sheet name="Analyse Segmentation" sheetId="6" state="visible" r:id="rId8"/>
    <sheet name="Scénarios &amp; Simula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<sst xmlns="http://schemas.openxmlformats.org/spreadsheetml/2006/main" count="367" uniqueCount="223">
  <si>
    <t xml:space="preserve">TABLEAU DE BORD - REVENUE MANAGEMENT</t>
  </si>
  <si>
    <t xml:space="preserve">Hôtel:</t>
  </si>
  <si>
    <t xml:space="preserve">HOTEL PRESTIGE BUSINESS - DAKAR</t>
  </si>
  <si>
    <t xml:space="preserve">INDICATEURS CLÉS - MAI 2026</t>
  </si>
  <si>
    <t xml:space="preserve">Capacité totale:</t>
  </si>
  <si>
    <t xml:space="preserve">chambres</t>
  </si>
  <si>
    <t xml:space="preserve">RevPAR</t>
  </si>
  <si>
    <t xml:space="preserve">Type de chambre</t>
  </si>
  <si>
    <t xml:space="preserve">Nombre</t>
  </si>
  <si>
    <t xml:space="preserve">Surface (m²)</t>
  </si>
  <si>
    <t xml:space="preserve">Prix de base</t>
  </si>
  <si>
    <t xml:space="preserve">ADR</t>
  </si>
  <si>
    <t xml:space="preserve">Supérieure</t>
  </si>
  <si>
    <t xml:space="preserve">Taux d'occupation</t>
  </si>
  <si>
    <t xml:space="preserve">Deluxe Vue Mer</t>
  </si>
  <si>
    <t xml:space="preserve">TRevPAR</t>
  </si>
  <si>
    <t xml:space="preserve">Executive</t>
  </si>
  <si>
    <t xml:space="preserve">Junior Suite</t>
  </si>
  <si>
    <t xml:space="preserve">PERFORMANCE PAR SEGMENT CLIENT</t>
  </si>
  <si>
    <t xml:space="preserve">Segment</t>
  </si>
  <si>
    <t xml:space="preserve">% Réservations</t>
  </si>
  <si>
    <t xml:space="preserve">ADR Moyen</t>
  </si>
  <si>
    <t xml:space="preserve">Contribution CA</t>
  </si>
  <si>
    <t xml:space="preserve">Corporate Contractuel</t>
  </si>
  <si>
    <t xml:space="preserve">Corporate Spot</t>
  </si>
  <si>
    <t xml:space="preserve">Transient (Individuel)</t>
  </si>
  <si>
    <t xml:space="preserve">Loisirs</t>
  </si>
  <si>
    <t xml:space="preserve">Groupes/Événements</t>
  </si>
  <si>
    <t xml:space="preserve">GUIDE DES KPI &amp; MÉTHODOLOGIE REVENUE MANAGEMENT</t>
  </si>
  <si>
    <t xml:space="preserve">1. INDICATEURS CLÉS DE PERFORMANCE (KPI)</t>
  </si>
  <si>
    <t xml:space="preserve">KPI</t>
  </si>
  <si>
    <t xml:space="preserve">Formule</t>
  </si>
  <si>
    <t xml:space="preserve">Définition</t>
  </si>
  <si>
    <t xml:space="preserve">Benchmark Dakar 4-5★</t>
  </si>
  <si>
    <t xml:space="preserve">Revenus chambres / Chambres disponibles</t>
  </si>
  <si>
    <t xml:space="preserve">Revenue Per Available Room - Mesure la performance globale (prix × occupation)</t>
  </si>
  <si>
    <t xml:space="preserve">150-220€</t>
  </si>
  <si>
    <t xml:space="preserve">Revenus chambres / Chambres vendues</t>
  </si>
  <si>
    <t xml:space="preserve">Average Daily Rate - Tarif moyen réellement pratiqué</t>
  </si>
  <si>
    <t xml:space="preserve">200-300€</t>
  </si>
  <si>
    <t xml:space="preserve">Taux occupation</t>
  </si>
  <si>
    <t xml:space="preserve">Chambres vendues / Chambres disponibles</t>
  </si>
  <si>
    <t xml:space="preserve">% de remplissage de l'hôtel</t>
  </si>
  <si>
    <t xml:space="preserve">70-85%</t>
  </si>
  <si>
    <t xml:space="preserve">(Revenus chambres + Autres CA) / Ch. dispo</t>
  </si>
  <si>
    <t xml:space="preserve">Total Revenue PAR - Inclut F&amp;B, spa, services</t>
  </si>
  <si>
    <t xml:space="preserve">190-280€</t>
  </si>
  <si>
    <t xml:space="preserve">Yield Index</t>
  </si>
  <si>
    <t xml:space="preserve">RevPAR réalisé / RevPAR potentiel max</t>
  </si>
  <si>
    <t xml:space="preserve">Indice d'optimisation du pricing (non calculé ici)</t>
  </si>
  <si>
    <t xml:space="preserve">&gt;85%</t>
  </si>
  <si>
    <t xml:space="preserve">2. SEGMENTATION CLIENT</t>
  </si>
  <si>
    <t xml:space="preserve">Caractéristiques</t>
  </si>
  <si>
    <t xml:space="preserve">Stratégie Pricing</t>
  </si>
  <si>
    <t xml:space="preserve">Entreprises avec contrat annuel négocié</t>
  </si>
  <si>
    <t xml:space="preserve">Volume stable, tarifs fixes, faible élasticité prix</t>
  </si>
  <si>
    <t xml:space="preserve">Remise 10-20%, garantie de disponibilité</t>
  </si>
  <si>
    <t xml:space="preserve">Voyageurs d'affaires sans contrat (ad-hoc)</t>
  </si>
  <si>
    <t xml:space="preserve">Réservation courte (J-3), forte demande semaine, prix moins sensible</t>
  </si>
  <si>
    <t xml:space="preserve">Prix premium, restrictions LOS minimales</t>
  </si>
  <si>
    <t xml:space="preserve">Transient</t>
  </si>
  <si>
    <t xml:space="preserve">Clients individuels (OTA, direct, walk-in)</t>
  </si>
  <si>
    <t xml:space="preserve">Mix affaires/loisirs, forte élasticité prix, canaux variés</t>
  </si>
  <si>
    <t xml:space="preserve">Pricing dynamique pur, fence tarifaires</t>
  </si>
  <si>
    <t xml:space="preserve">Touristes, couples, familles</t>
  </si>
  <si>
    <t xml:space="preserve">Séjour week-end/vacances, sensible au prix, packages</t>
  </si>
  <si>
    <t xml:space="preserve">Promotions WE, bundles (spa, F&amp;B)</t>
  </si>
  <si>
    <t xml:space="preserve">Séminaires, conférences, mariages</t>
  </si>
  <si>
    <t xml:space="preserve">Volume important, négociation, LOS long</t>
  </si>
  <si>
    <t xml:space="preserve">Remise volume, minimums garantis</t>
  </si>
  <si>
    <t xml:space="preserve">3. TYPES DE CHAMBRES - INSPIRÉ RADISSON BLU &amp; KING FAHD PALACE DAKAR</t>
  </si>
  <si>
    <t xml:space="preserve">Type</t>
  </si>
  <si>
    <t xml:space="preserve">Surface</t>
  </si>
  <si>
    <t xml:space="preserve">Équipements clés</t>
  </si>
  <si>
    <t xml:space="preserve">Segment cible principal</t>
  </si>
  <si>
    <t xml:space="preserve">28m²</t>
  </si>
  <si>
    <t xml:space="preserve">Vue ville/jardin, lit king, bureau, wifi</t>
  </si>
  <si>
    <t xml:space="preserve">Corporate contractuel, Transient</t>
  </si>
  <si>
    <t xml:space="preserve">35m²</t>
  </si>
  <si>
    <t xml:space="preserve">Vue océan, balcon, baignoire, Nespresso</t>
  </si>
  <si>
    <t xml:space="preserve">Corporate spot, Loisirs haut de gamme</t>
  </si>
  <si>
    <t xml:space="preserve">42m²</t>
  </si>
  <si>
    <t xml:space="preserve">Salon séparé, espace travail, accès lounge</t>
  </si>
  <si>
    <t xml:space="preserve">Corporate spot, VIP</t>
  </si>
  <si>
    <t xml:space="preserve">55m²</t>
  </si>
  <si>
    <t xml:space="preserve">Chambre + salon, 2 TV, bar, terrasse</t>
  </si>
  <si>
    <t xml:space="preserve">Loisirs luxe, Groupes VIP</t>
  </si>
  <si>
    <t xml:space="preserve">4. LOGIQUE PRICING DYNAMIQUE</t>
  </si>
  <si>
    <t xml:space="preserve">• DEMANDE &gt;90% → Prix +35% (Stratégie Premium) - Événements majeurs, haute saison</t>
  </si>
  <si>
    <t xml:space="preserve">• DEMANDE 75-90% → Prix +15% (Optimisation) - Forte demande semaine</t>
  </si>
  <si>
    <t xml:space="preserve">• DEMANDE 60-75% → Prix de base (Standard) - Demande normale</t>
  </si>
  <si>
    <t xml:space="preserve">• DEMANDE 45-60% → Prix -10% (Stimulation) - Début week-end, basse saison</t>
  </si>
  <si>
    <t xml:space="preserve">• DEMANDE &lt;45% → Prix -20% (Promotion) - Week-ends creux, packages nécessaires</t>
  </si>
  <si>
    <t xml:space="preserve">5. NOTES MÉTHODOLOGIQUES</t>
  </si>
  <si>
    <t xml:space="preserve">→ Les prix de base sont inspirés du marché hôtelier 4-5★ Dakar (Radisson Blu, King Fahd Palace)</t>
  </si>
  <si>
    <t xml:space="preserve">→ La saisonnalité reflète le climat sénégalais : Haute saison Nov-Mai, Basse saison Juin-Oct</t>
  </si>
  <si>
    <t xml:space="preserve">→ Les événements intègrent le calendrier CEDEAO, conférences internationales, salons</t>
  </si>
  <si>
    <t xml:space="preserve">→ Le mix segments est typique d'un hôtel urbain d'affaires Dakar (60% corporate, 40% loisirs)</t>
  </si>
  <si>
    <t xml:space="preserve">→ Les autres revenus (F&amp;B, spa) représentent 25-30% du CA chambres pour ce positionnement</t>
  </si>
  <si>
    <t xml:space="preserve">→ Ce modèle peut être adapté à tout hôtel 3-5★ en modifiant les cellules BLEUES (inputs)</t>
  </si>
  <si>
    <t xml:space="preserve">CALENDRIER PRICING DYNAMIQUE - MAI 2026</t>
  </si>
  <si>
    <t xml:space="preserve">Date</t>
  </si>
  <si>
    <t xml:space="preserve">Jour</t>
  </si>
  <si>
    <t xml:space="preserve">Saison</t>
  </si>
  <si>
    <t xml:space="preserve">Événement</t>
  </si>
  <si>
    <t xml:space="preserve">Deluxe</t>
  </si>
  <si>
    <t xml:space="preserve">Occup. Prév.</t>
  </si>
  <si>
    <t xml:space="preserve">Demande</t>
  </si>
  <si>
    <t xml:space="preserve">Stratégie</t>
  </si>
  <si>
    <t xml:space="preserve">01/05/2026</t>
  </si>
  <si>
    <t xml:space="preserve">Ven</t>
  </si>
  <si>
    <t xml:space="preserve">Haute</t>
  </si>
  <si>
    <t xml:space="preserve">Standard</t>
  </si>
  <si>
    <t xml:space="preserve">02/05/2026</t>
  </si>
  <si>
    <t xml:space="preserve">Sam</t>
  </si>
  <si>
    <t xml:space="preserve">Promotion WE</t>
  </si>
  <si>
    <t xml:space="preserve">03/05/2026</t>
  </si>
  <si>
    <t xml:space="preserve">Dim</t>
  </si>
  <si>
    <t xml:space="preserve">04/05/2026</t>
  </si>
  <si>
    <t xml:space="preserve">Lun</t>
  </si>
  <si>
    <t xml:space="preserve">05/05/2026</t>
  </si>
  <si>
    <t xml:space="preserve">Mar</t>
  </si>
  <si>
    <t xml:space="preserve">06/05/2026</t>
  </si>
  <si>
    <t xml:space="preserve">Mer</t>
  </si>
  <si>
    <t xml:space="preserve">07/05/2026</t>
  </si>
  <si>
    <t xml:space="preserve">Jeu</t>
  </si>
  <si>
    <t xml:space="preserve">08/05/2026</t>
  </si>
  <si>
    <t xml:space="preserve">09/05/2026</t>
  </si>
  <si>
    <t xml:space="preserve">10/05/2026</t>
  </si>
  <si>
    <t xml:space="preserve">11/05/2026</t>
  </si>
  <si>
    <t xml:space="preserve">12/05/2026</t>
  </si>
  <si>
    <t xml:space="preserve">13/05/2026</t>
  </si>
  <si>
    <t xml:space="preserve">14/05/2026</t>
  </si>
  <si>
    <t xml:space="preserve">Sommet CEDEAO</t>
  </si>
  <si>
    <t xml:space="preserve">Premium</t>
  </si>
  <si>
    <t xml:space="preserve">15/05/2026</t>
  </si>
  <si>
    <t xml:space="preserve">16/05/2026</t>
  </si>
  <si>
    <t xml:space="preserve">17/05/2026</t>
  </si>
  <si>
    <t xml:space="preserve">18/05/2026</t>
  </si>
  <si>
    <t xml:space="preserve">19/05/2026</t>
  </si>
  <si>
    <t xml:space="preserve">20/05/2026</t>
  </si>
  <si>
    <t xml:space="preserve">21/05/2026</t>
  </si>
  <si>
    <t xml:space="preserve">22/05/2026</t>
  </si>
  <si>
    <t xml:space="preserve">Africa Tech Summit</t>
  </si>
  <si>
    <t xml:space="preserve">23/05/2026</t>
  </si>
  <si>
    <t xml:space="preserve">24/05/2026</t>
  </si>
  <si>
    <t xml:space="preserve">25/05/2026</t>
  </si>
  <si>
    <t xml:space="preserve">26/05/2026</t>
  </si>
  <si>
    <t xml:space="preserve">27/05/2026</t>
  </si>
  <si>
    <t xml:space="preserve">28/05/2026</t>
  </si>
  <si>
    <t xml:space="preserve">29/05/2026</t>
  </si>
  <si>
    <t xml:space="preserve">30/05/2026</t>
  </si>
  <si>
    <t xml:space="preserve">31/05/2026</t>
  </si>
  <si>
    <t xml:space="preserve">MOTEUR DE PRICING DYNAMIQUE</t>
  </si>
  <si>
    <t xml:space="preserve">PRIX DE BASE (EUR)</t>
  </si>
  <si>
    <t xml:space="preserve">Type chambre</t>
  </si>
  <si>
    <t xml:space="preserve">Prix plancher</t>
  </si>
  <si>
    <t xml:space="preserve">Prix plafond</t>
  </si>
  <si>
    <t xml:space="preserve">RÈGLES DE PRICING DYNAMIQUE</t>
  </si>
  <si>
    <t xml:space="preserve">Niveau demande</t>
  </si>
  <si>
    <t xml:space="preserve">Seuil (%)</t>
  </si>
  <si>
    <t xml:space="preserve">Multiplicateur</t>
  </si>
  <si>
    <t xml:space="preserve">Restrictions</t>
  </si>
  <si>
    <t xml:space="preserve">Très forte</t>
  </si>
  <si>
    <t xml:space="preserve">&gt;90%</t>
  </si>
  <si>
    <t xml:space="preserve">Min 2 nuits, CTA possible</t>
  </si>
  <si>
    <t xml:space="preserve">Forte</t>
  </si>
  <si>
    <t xml:space="preserve">75-90%</t>
  </si>
  <si>
    <t xml:space="preserve">Optimisation</t>
  </si>
  <si>
    <t xml:space="preserve">Min 1 nuit</t>
  </si>
  <si>
    <t xml:space="preserve">Moyenne</t>
  </si>
  <si>
    <t xml:space="preserve">60-75%</t>
  </si>
  <si>
    <t xml:space="preserve">Aucune</t>
  </si>
  <si>
    <t xml:space="preserve">Faible</t>
  </si>
  <si>
    <t xml:space="preserve">45-60%</t>
  </si>
  <si>
    <t xml:space="preserve">Stimulation</t>
  </si>
  <si>
    <t xml:space="preserve">Packages recommandés</t>
  </si>
  <si>
    <t xml:space="preserve">Très faible</t>
  </si>
  <si>
    <t xml:space="preserve">&lt;45%</t>
  </si>
  <si>
    <t xml:space="preserve">Promotion</t>
  </si>
  <si>
    <t xml:space="preserve">Offres WE, bundles F&amp;B</t>
  </si>
  <si>
    <t xml:space="preserve">SEGMENTS CLIENTS &amp; REMISES</t>
  </si>
  <si>
    <t xml:space="preserve">Remise max</t>
  </si>
  <si>
    <t xml:space="preserve">Commission</t>
  </si>
  <si>
    <t xml:space="preserve">LOS minimum</t>
  </si>
  <si>
    <t xml:space="preserve">DONNÉES HISTORIQUES &amp; PRÉVISIONS</t>
  </si>
  <si>
    <t xml:space="preserve">Mois</t>
  </si>
  <si>
    <t xml:space="preserve">Année</t>
  </si>
  <si>
    <t xml:space="preserve">Ch. Vendues</t>
  </si>
  <si>
    <t xml:space="preserve">Ch. Dispo</t>
  </si>
  <si>
    <t xml:space="preserve">Occupation</t>
  </si>
  <si>
    <t xml:space="preserve">Revenus Ch.</t>
  </si>
  <si>
    <t xml:space="preserve">Autres Rev.</t>
  </si>
  <si>
    <t xml:space="preserve">Taux Occ</t>
  </si>
  <si>
    <t xml:space="preserve">TRevPAR Final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</si>
  <si>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</si>
  <si>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</si>
  <si>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</si>
  <si>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</si>
  <si>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</si>
  <si>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</si>
  <si>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Basse</t>
  </si>
  <si>
    <t xml:space="preserve">Déc</t>
  </si>
  <si>
    <t xml:space="preserve">Jan</t>
  </si>
  <si>
    <t xml:space="preserve">Fév</t>
  </si>
  <si>
    <t xml:space="preserve">Mars</t>
  </si>
  <si>
    <t xml:space="preserve">Avril</t>
  </si>
  <si>
    <t xml:space="preserve">Mai</t>
  </si>
  <si>
    <t xml:space="preserve">ANALYSE PAR SEGMENT CLIENT</t>
  </si>
  <si>
    <t xml:space="preserve">Nuitées</t>
  </si>
  <si>
    <t xml:space="preserve">% Mix</t>
  </si>
  <si>
    <t xml:space="preserve">CA Total</t>
  </si>
  <si>
    <t xml:space="preserve">TOTAL</t>
  </si>
  <si>
    <t xml:space="preserve">100%</t>
  </si>
  <si>
    <t xml:space="preserve">SIMULATIONS PRICING - WHAT-IF ANALYSIS</t>
  </si>
  <si>
    <t xml:space="preserve">SCÉNARIO 1: Impact variation prix (-10% / +10%)</t>
  </si>
  <si>
    <t xml:space="preserve">Paramètre</t>
  </si>
  <si>
    <t xml:space="preserve">Actuel</t>
  </si>
  <si>
    <t xml:space="preserve">Prix -10%</t>
  </si>
  <si>
    <t xml:space="preserve">Prix +10%</t>
  </si>
  <si>
    <t xml:space="preserve">ADR Deluxe</t>
  </si>
  <si>
    <t xml:space="preserve">Occupation estimée</t>
  </si>
  <si>
    <t xml:space="preserve">Revenus mensuels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</si>
</sst>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"/>
    <numFmt numFmtId="166" formatCode="0&quot; m²&quot;"/>
    <numFmt numFmtId="167" formatCode="0.0%"/>
    <numFmt numFmtId="168" formatCode="0%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0AD47"/>
        <bgColor rgb="FF339966"/>
      </patternFill>
    </fill>
    <fill>
      <patternFill patternType="solid">
        <fgColor rgb="FF4472C4"/>
        <bgColor rgb="FF666699"/>
      </patternFill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6" style="0" width="2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7.35" hidden="false" customHeight="false" outlineLevel="0" collapsed="false">
      <c r="A3" s="0" t="s">
        <v>1</v>
      </c>
      <c r="B3" s="2" t="s">
        <v>2</v>
      </c>
      <c r="F3" s="3" t="s">
        <v>3</v>
      </c>
      <c r="G3" s="3"/>
      <c r="H3" s="3"/>
    </row>
    <row r="4" customFormat="false" ht="15" hidden="false" customHeight="false" outlineLevel="0" collapsed="false">
      <c r="A4" s="0" t="s">
        <v>4</v>
      </c>
      <c r="B4" s="4" t="n">
        <v>180</v>
      </c>
      <c r="D4" s="5" t="s">
        <v>5</v>
      </c>
    </row>
    <row r="5" customFormat="false" ht="17.35" hidden="false" customHeight="false" outlineLevel="0" collapsed="false">
      <c r="F5" s="6" t="s">
        <v>6</v>
      </c>
      <c r="G5" s="7" t="n">
        <f aca="false">'Données &amp; Forecast'!K5</f>
        <v>193.071286819057</v>
      </c>
    </row>
    <row r="6" customFormat="false" ht="17.35" hidden="false" customHeight="false" outlineLevel="0" collapsed="false">
      <c r="A6" s="8" t="s">
        <v>7</v>
      </c>
      <c r="B6" s="8" t="s">
        <v>8</v>
      </c>
      <c r="C6" s="8" t="s">
        <v>9</v>
      </c>
      <c r="D6" s="8" t="s">
        <v>10</v>
      </c>
      <c r="F6" s="6" t="s">
        <v>11</v>
      </c>
      <c r="G6" s="7" t="n">
        <f aca="false">'Données &amp; Forecast'!L5</f>
        <v>249.005242135875</v>
      </c>
    </row>
    <row r="7" customFormat="false" ht="17.35" hidden="false" customHeight="false" outlineLevel="0" collapsed="false">
      <c r="A7" s="0" t="s">
        <v>12</v>
      </c>
      <c r="B7" s="4" t="n">
        <v>80</v>
      </c>
      <c r="C7" s="9" t="n">
        <v>28</v>
      </c>
      <c r="D7" s="10" t="n">
        <v>180</v>
      </c>
      <c r="F7" s="6" t="s">
        <v>13</v>
      </c>
      <c r="G7" s="11" t="n">
        <f aca="false">'Données &amp; Forecast'!M5</f>
        <v>0.77537037037037</v>
      </c>
    </row>
    <row r="8" customFormat="false" ht="17.35" hidden="false" customHeight="false" outlineLevel="0" collapsed="false">
      <c r="A8" s="0" t="s">
        <v>14</v>
      </c>
      <c r="B8" s="4" t="n">
        <v>60</v>
      </c>
      <c r="C8" s="9" t="n">
        <v>35</v>
      </c>
      <c r="D8" s="10" t="n">
        <v>260</v>
      </c>
      <c r="F8" s="6" t="s">
        <v>15</v>
      </c>
      <c r="G8" s="7" t="n">
        <f aca="false">'Données &amp; Forecast'!N5</f>
        <v>245.200534260203</v>
      </c>
    </row>
    <row r="9" customFormat="false" ht="15" hidden="false" customHeight="false" outlineLevel="0" collapsed="false">
      <c r="A9" s="0" t="s">
        <v>16</v>
      </c>
      <c r="B9" s="4" t="n">
        <v>30</v>
      </c>
      <c r="C9" s="9" t="n">
        <v>42</v>
      </c>
      <c r="D9" s="10" t="n">
        <v>340</v>
      </c>
    </row>
    <row r="10" customFormat="false" ht="15" hidden="false" customHeight="false" outlineLevel="0" collapsed="false">
      <c r="A10" s="0" t="s">
        <v>17</v>
      </c>
      <c r="B10" s="4" t="n">
        <v>10</v>
      </c>
      <c r="C10" s="9" t="n">
        <v>55</v>
      </c>
      <c r="D10" s="10" t="n">
        <v>450</v>
      </c>
    </row>
    <row r="12" customFormat="false" ht="15" hidden="false" customHeight="false" outlineLevel="0" collapsed="false">
      <c r="A12" s="12" t="s">
        <v>18</v>
      </c>
      <c r="B12" s="12"/>
      <c r="C12" s="12"/>
      <c r="D12" s="12"/>
      <c r="E12" s="12"/>
    </row>
    <row r="13" customFormat="false" ht="15" hidden="false" customHeight="false" outlineLevel="0" collapsed="false">
      <c r="A13" s="13" t="s">
        <v>19</v>
      </c>
      <c r="B13" s="13" t="s">
        <v>20</v>
      </c>
      <c r="C13" s="13" t="s">
        <v>21</v>
      </c>
      <c r="D13" s="13" t="s">
        <v>22</v>
      </c>
    </row>
    <row r="14" customFormat="false" ht="15" hidden="false" customHeight="false" outlineLevel="0" collapsed="false">
      <c r="A14" s="0" t="s">
        <v>23</v>
      </c>
      <c r="B14" s="14" t="n">
        <f aca="false">'Analyse Segmentation'!C4</f>
        <v>0.310679611650485</v>
      </c>
      <c r="C14" s="15" t="n">
        <f aca="false">'Analyse Segmentation'!D4</f>
        <v>215</v>
      </c>
      <c r="D14" s="15" t="n">
        <f aca="false">'Analyse Segmentation'!E4</f>
        <v>275200</v>
      </c>
    </row>
    <row r="15" customFormat="false" ht="15" hidden="false" customHeight="false" outlineLevel="0" collapsed="false">
      <c r="A15" s="0" t="s">
        <v>24</v>
      </c>
      <c r="B15" s="14" t="n">
        <f aca="false">'Analyse Segmentation'!C5</f>
        <v>0.230582524271845</v>
      </c>
      <c r="C15" s="15" t="n">
        <f aca="false">'Analyse Segmentation'!D5</f>
        <v>275</v>
      </c>
      <c r="D15" s="15" t="n">
        <f aca="false">'Analyse Segmentation'!E5</f>
        <v>261250</v>
      </c>
    </row>
    <row r="16" customFormat="false" ht="15" hidden="false" customHeight="false" outlineLevel="0" collapsed="false">
      <c r="A16" s="0" t="s">
        <v>25</v>
      </c>
      <c r="B16" s="14" t="n">
        <f aca="false">'Analyse Segmentation'!C6</f>
        <v>0.189320388349515</v>
      </c>
      <c r="C16" s="15" t="n">
        <f aca="false">'Analyse Segmentation'!D6</f>
        <v>240</v>
      </c>
      <c r="D16" s="15" t="n">
        <f aca="false">'Analyse Segmentation'!E6</f>
        <v>187200</v>
      </c>
    </row>
    <row r="17" customFormat="false" ht="15" hidden="false" customHeight="false" outlineLevel="0" collapsed="false">
      <c r="A17" s="0" t="s">
        <v>26</v>
      </c>
      <c r="B17" s="14" t="n">
        <f aca="false">'Analyse Segmentation'!C7</f>
        <v>0.150485436893204</v>
      </c>
      <c r="C17" s="15" t="n">
        <f aca="false">'Analyse Segmentation'!D7</f>
        <v>235</v>
      </c>
      <c r="D17" s="15" t="n">
        <f aca="false">'Analyse Segmentation'!E7</f>
        <v>145700</v>
      </c>
    </row>
    <row r="18" customFormat="false" ht="15" hidden="false" customHeight="false" outlineLevel="0" collapsed="false">
      <c r="A18" s="0" t="s">
        <v>27</v>
      </c>
      <c r="B18" s="14" t="n">
        <f aca="false">'Analyse Segmentation'!C8</f>
        <v>0.118932038834951</v>
      </c>
      <c r="C18" s="15" t="n">
        <f aca="false">'Analyse Segmentation'!D8</f>
        <v>205</v>
      </c>
      <c r="D18" s="15" t="n">
        <f aca="false">'Analyse Segmentation'!E8</f>
        <v>100450</v>
      </c>
    </row>
  </sheetData>
  <mergeCells count="3">
    <mergeCell ref="A1:H1"/>
    <mergeCell ref="F3:H3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40"/>
    <col collapsed="false" customWidth="true" hidden="false" outlineLevel="0" max="4" min="4" style="0" width="35"/>
  </cols>
  <sheetData>
    <row r="1" customFormat="false" ht="24.75" hidden="false" customHeight="true" outlineLevel="0" collapsed="false">
      <c r="A1" s="16" t="s">
        <v>28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17" t="s">
        <v>29</v>
      </c>
    </row>
    <row r="4" customFormat="false" ht="15" hidden="false" customHeight="false" outlineLevel="0" collapsed="false">
      <c r="A4" s="18" t="s">
        <v>30</v>
      </c>
      <c r="B4" s="18" t="s">
        <v>31</v>
      </c>
      <c r="C4" s="19" t="s">
        <v>32</v>
      </c>
      <c r="D4" s="18" t="s">
        <v>33</v>
      </c>
    </row>
    <row r="5" customFormat="false" ht="28.35" hidden="false" customHeight="false" outlineLevel="0" collapsed="false">
      <c r="A5" s="6" t="s">
        <v>6</v>
      </c>
      <c r="B5" s="5" t="s">
        <v>34</v>
      </c>
      <c r="C5" s="20" t="s">
        <v>35</v>
      </c>
      <c r="D5" s="5" t="s">
        <v>36</v>
      </c>
    </row>
    <row r="6" customFormat="false" ht="28.35" hidden="false" customHeight="false" outlineLevel="0" collapsed="false">
      <c r="A6" s="6" t="s">
        <v>11</v>
      </c>
      <c r="B6" s="5" t="s">
        <v>37</v>
      </c>
      <c r="C6" s="20" t="s">
        <v>38</v>
      </c>
      <c r="D6" s="5" t="s">
        <v>39</v>
      </c>
    </row>
    <row r="7" customFormat="false" ht="15" hidden="false" customHeight="false" outlineLevel="0" collapsed="false">
      <c r="A7" s="6" t="s">
        <v>40</v>
      </c>
      <c r="B7" s="5" t="s">
        <v>41</v>
      </c>
      <c r="C7" s="20" t="s">
        <v>42</v>
      </c>
      <c r="D7" s="5" t="s">
        <v>43</v>
      </c>
    </row>
    <row r="8" customFormat="false" ht="15" hidden="false" customHeight="false" outlineLevel="0" collapsed="false">
      <c r="A8" s="6" t="s">
        <v>15</v>
      </c>
      <c r="B8" s="5" t="s">
        <v>44</v>
      </c>
      <c r="C8" s="20" t="s">
        <v>45</v>
      </c>
      <c r="D8" s="5" t="s">
        <v>46</v>
      </c>
    </row>
    <row r="9" customFormat="false" ht="28.35" hidden="false" customHeight="false" outlineLevel="0" collapsed="false">
      <c r="A9" s="6" t="s">
        <v>47</v>
      </c>
      <c r="B9" s="5" t="s">
        <v>48</v>
      </c>
      <c r="C9" s="20" t="s">
        <v>49</v>
      </c>
      <c r="D9" s="5" t="s">
        <v>50</v>
      </c>
    </row>
    <row r="11" customFormat="false" ht="15" hidden="false" customHeight="false" outlineLevel="0" collapsed="false">
      <c r="A11" s="17" t="s">
        <v>51</v>
      </c>
    </row>
    <row r="12" customFormat="false" ht="15" hidden="false" customHeight="false" outlineLevel="0" collapsed="false">
      <c r="A12" s="18" t="s">
        <v>19</v>
      </c>
      <c r="B12" s="19" t="s">
        <v>32</v>
      </c>
      <c r="C12" s="19" t="s">
        <v>52</v>
      </c>
      <c r="D12" s="19" t="s">
        <v>53</v>
      </c>
    </row>
    <row r="13" customFormat="false" ht="28.35" hidden="false" customHeight="false" outlineLevel="0" collapsed="false">
      <c r="A13" s="6" t="s">
        <v>23</v>
      </c>
      <c r="B13" s="20" t="s">
        <v>54</v>
      </c>
      <c r="C13" s="20" t="s">
        <v>55</v>
      </c>
      <c r="D13" s="20" t="s">
        <v>56</v>
      </c>
    </row>
    <row r="14" customFormat="false" ht="28.35" hidden="false" customHeight="false" outlineLevel="0" collapsed="false">
      <c r="A14" s="6" t="s">
        <v>24</v>
      </c>
      <c r="B14" s="20" t="s">
        <v>57</v>
      </c>
      <c r="C14" s="20" t="s">
        <v>58</v>
      </c>
      <c r="D14" s="20" t="s">
        <v>59</v>
      </c>
    </row>
    <row r="15" customFormat="false" ht="28.35" hidden="false" customHeight="false" outlineLevel="0" collapsed="false">
      <c r="A15" s="6" t="s">
        <v>60</v>
      </c>
      <c r="B15" s="20" t="s">
        <v>61</v>
      </c>
      <c r="C15" s="20" t="s">
        <v>62</v>
      </c>
      <c r="D15" s="20" t="s">
        <v>63</v>
      </c>
    </row>
    <row r="16" customFormat="false" ht="28.35" hidden="false" customHeight="false" outlineLevel="0" collapsed="false">
      <c r="A16" s="6" t="s">
        <v>26</v>
      </c>
      <c r="B16" s="20" t="s">
        <v>64</v>
      </c>
      <c r="C16" s="20" t="s">
        <v>65</v>
      </c>
      <c r="D16" s="20" t="s">
        <v>66</v>
      </c>
    </row>
    <row r="17" customFormat="false" ht="15" hidden="false" customHeight="false" outlineLevel="0" collapsed="false">
      <c r="A17" s="6" t="s">
        <v>27</v>
      </c>
      <c r="B17" s="20" t="s">
        <v>67</v>
      </c>
      <c r="C17" s="20" t="s">
        <v>68</v>
      </c>
      <c r="D17" s="20" t="s">
        <v>69</v>
      </c>
    </row>
    <row r="19" customFormat="false" ht="15" hidden="false" customHeight="false" outlineLevel="0" collapsed="false">
      <c r="A19" s="17" t="s">
        <v>70</v>
      </c>
    </row>
    <row r="20" customFormat="false" ht="15" hidden="false" customHeight="false" outlineLevel="0" collapsed="false">
      <c r="A20" s="18" t="s">
        <v>71</v>
      </c>
      <c r="B20" s="18" t="s">
        <v>72</v>
      </c>
      <c r="C20" s="19" t="s">
        <v>73</v>
      </c>
      <c r="D20" s="18" t="s">
        <v>74</v>
      </c>
    </row>
    <row r="21" customFormat="false" ht="15" hidden="false" customHeight="false" outlineLevel="0" collapsed="false">
      <c r="A21" s="6" t="s">
        <v>12</v>
      </c>
      <c r="B21" s="5" t="s">
        <v>75</v>
      </c>
      <c r="C21" s="20" t="s">
        <v>76</v>
      </c>
      <c r="D21" s="5" t="s">
        <v>77</v>
      </c>
    </row>
    <row r="22" customFormat="false" ht="15" hidden="false" customHeight="false" outlineLevel="0" collapsed="false">
      <c r="A22" s="6" t="s">
        <v>14</v>
      </c>
      <c r="B22" s="5" t="s">
        <v>78</v>
      </c>
      <c r="C22" s="20" t="s">
        <v>79</v>
      </c>
      <c r="D22" s="5" t="s">
        <v>80</v>
      </c>
    </row>
    <row r="23" customFormat="false" ht="15" hidden="false" customHeight="false" outlineLevel="0" collapsed="false">
      <c r="A23" s="6" t="s">
        <v>16</v>
      </c>
      <c r="B23" s="5" t="s">
        <v>81</v>
      </c>
      <c r="C23" s="20" t="s">
        <v>82</v>
      </c>
      <c r="D23" s="5" t="s">
        <v>83</v>
      </c>
    </row>
    <row r="24" customFormat="false" ht="15" hidden="false" customHeight="false" outlineLevel="0" collapsed="false">
      <c r="A24" s="6" t="s">
        <v>17</v>
      </c>
      <c r="B24" s="5" t="s">
        <v>84</v>
      </c>
      <c r="C24" s="20" t="s">
        <v>85</v>
      </c>
      <c r="D24" s="5" t="s">
        <v>86</v>
      </c>
    </row>
    <row r="26" customFormat="false" ht="15" hidden="false" customHeight="false" outlineLevel="0" collapsed="false">
      <c r="A26" s="17" t="s">
        <v>87</v>
      </c>
    </row>
    <row r="27" customFormat="false" ht="15" hidden="false" customHeight="true" outlineLevel="0" collapsed="false">
      <c r="A27" s="21" t="s">
        <v>88</v>
      </c>
      <c r="B27" s="21"/>
      <c r="C27" s="21"/>
      <c r="D27" s="21"/>
    </row>
    <row r="28" customFormat="false" ht="15" hidden="false" customHeight="true" outlineLevel="0" collapsed="false">
      <c r="A28" s="21" t="s">
        <v>89</v>
      </c>
      <c r="B28" s="21"/>
      <c r="C28" s="21"/>
      <c r="D28" s="21"/>
    </row>
    <row r="29" customFormat="false" ht="15" hidden="false" customHeight="true" outlineLevel="0" collapsed="false">
      <c r="A29" s="21" t="s">
        <v>90</v>
      </c>
      <c r="B29" s="21"/>
      <c r="C29" s="21"/>
      <c r="D29" s="21"/>
    </row>
    <row r="30" customFormat="false" ht="15" hidden="false" customHeight="true" outlineLevel="0" collapsed="false">
      <c r="A30" s="21" t="s">
        <v>91</v>
      </c>
      <c r="B30" s="21"/>
      <c r="C30" s="21"/>
      <c r="D30" s="21"/>
    </row>
    <row r="31" customFormat="false" ht="15" hidden="false" customHeight="true" outlineLevel="0" collapsed="false">
      <c r="A31" s="21" t="s">
        <v>92</v>
      </c>
      <c r="B31" s="21"/>
      <c r="C31" s="21"/>
      <c r="D31" s="21"/>
    </row>
    <row r="33" customFormat="false" ht="15" hidden="false" customHeight="false" outlineLevel="0" collapsed="false">
      <c r="A33" s="17" t="s">
        <v>93</v>
      </c>
    </row>
    <row r="34" customFormat="false" ht="15" hidden="false" customHeight="true" outlineLevel="0" collapsed="false">
      <c r="A34" s="21" t="s">
        <v>94</v>
      </c>
      <c r="B34" s="21"/>
      <c r="C34" s="21"/>
      <c r="D34" s="21"/>
    </row>
    <row r="35" customFormat="false" ht="15" hidden="false" customHeight="true" outlineLevel="0" collapsed="false">
      <c r="A35" s="21" t="s">
        <v>95</v>
      </c>
      <c r="B35" s="21"/>
      <c r="C35" s="21"/>
      <c r="D35" s="21"/>
    </row>
    <row r="36" customFormat="false" ht="15" hidden="false" customHeight="true" outlineLevel="0" collapsed="false">
      <c r="A36" s="21" t="s">
        <v>96</v>
      </c>
      <c r="B36" s="21"/>
      <c r="C36" s="21"/>
      <c r="D36" s="21"/>
    </row>
    <row r="37" customFormat="false" ht="15" hidden="false" customHeight="true" outlineLevel="0" collapsed="false">
      <c r="A37" s="21" t="s">
        <v>97</v>
      </c>
      <c r="B37" s="21"/>
      <c r="C37" s="21"/>
      <c r="D37" s="21"/>
    </row>
    <row r="38" customFormat="false" ht="15" hidden="false" customHeight="true" outlineLevel="0" collapsed="false">
      <c r="A38" s="21" t="s">
        <v>98</v>
      </c>
      <c r="B38" s="21"/>
      <c r="C38" s="21"/>
      <c r="D38" s="21"/>
    </row>
    <row r="39" customFormat="false" ht="15" hidden="false" customHeight="true" outlineLevel="0" collapsed="false">
      <c r="A39" s="21" t="s">
        <v>99</v>
      </c>
      <c r="B39" s="21"/>
      <c r="C39" s="21"/>
      <c r="D39" s="21"/>
    </row>
  </sheetData>
  <mergeCells count="12">
    <mergeCell ref="A1:F1"/>
    <mergeCell ref="A27:D27"/>
    <mergeCell ref="A28:D28"/>
    <mergeCell ref="A29:D29"/>
    <mergeCell ref="A30:D30"/>
    <mergeCell ref="A31:D31"/>
    <mergeCell ref="A34:D34"/>
    <mergeCell ref="A35:D35"/>
    <mergeCell ref="A36:D36"/>
    <mergeCell ref="A37:D37"/>
    <mergeCell ref="A38:D38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10"/>
    <col collapsed="false" customWidth="true" hidden="false" outlineLevel="0" max="11" min="11" style="0" width="15"/>
  </cols>
  <sheetData>
    <row r="1" customFormat="false" ht="24.75" hidden="false" customHeight="true" outlineLevel="0" collapsed="false">
      <c r="A1" s="22" t="s">
        <v>100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3" customFormat="false" ht="15" hidden="false" customHeight="false" outlineLevel="0" collapsed="false">
      <c r="A3" s="23" t="s">
        <v>101</v>
      </c>
      <c r="B3" s="23" t="s">
        <v>102</v>
      </c>
      <c r="C3" s="23" t="s">
        <v>103</v>
      </c>
      <c r="D3" s="23" t="s">
        <v>104</v>
      </c>
      <c r="E3" s="23" t="s">
        <v>12</v>
      </c>
      <c r="F3" s="23" t="s">
        <v>105</v>
      </c>
      <c r="G3" s="23" t="s">
        <v>16</v>
      </c>
      <c r="H3" s="23" t="s">
        <v>17</v>
      </c>
      <c r="I3" s="23" t="s">
        <v>106</v>
      </c>
      <c r="J3" s="23" t="s">
        <v>107</v>
      </c>
      <c r="K3" s="23" t="s">
        <v>108</v>
      </c>
    </row>
    <row r="4" customFormat="false" ht="15" hidden="false" customHeight="false" outlineLevel="0" collapsed="false">
      <c r="A4" s="24" t="s">
        <v>109</v>
      </c>
      <c r="B4" s="24" t="s">
        <v>110</v>
      </c>
      <c r="C4" s="24" t="s">
        <v>111</v>
      </c>
      <c r="D4" s="24"/>
      <c r="E4" s="25" t="n">
        <v>180</v>
      </c>
      <c r="F4" s="25" t="n">
        <v>260</v>
      </c>
      <c r="G4" s="25" t="n">
        <v>340</v>
      </c>
      <c r="H4" s="25" t="n">
        <v>450</v>
      </c>
      <c r="I4" s="26" t="n">
        <v>0.68</v>
      </c>
      <c r="J4" s="27" t="n">
        <v>62</v>
      </c>
      <c r="K4" s="24" t="s">
        <v>112</v>
      </c>
    </row>
    <row r="5" customFormat="false" ht="15" hidden="false" customHeight="false" outlineLevel="0" collapsed="false">
      <c r="A5" s="24" t="s">
        <v>113</v>
      </c>
      <c r="B5" s="24" t="s">
        <v>114</v>
      </c>
      <c r="C5" s="24" t="s">
        <v>111</v>
      </c>
      <c r="D5" s="24"/>
      <c r="E5" s="25" t="n">
        <v>144</v>
      </c>
      <c r="F5" s="25" t="n">
        <v>208</v>
      </c>
      <c r="G5" s="25" t="n">
        <v>272</v>
      </c>
      <c r="H5" s="25" t="n">
        <v>360</v>
      </c>
      <c r="I5" s="26" t="n">
        <v>0.42</v>
      </c>
      <c r="J5" s="27" t="n">
        <v>38</v>
      </c>
      <c r="K5" s="28" t="s">
        <v>115</v>
      </c>
    </row>
    <row r="6" customFormat="false" ht="15" hidden="false" customHeight="false" outlineLevel="0" collapsed="false">
      <c r="A6" s="24" t="s">
        <v>116</v>
      </c>
      <c r="B6" s="24" t="s">
        <v>117</v>
      </c>
      <c r="C6" s="24" t="s">
        <v>111</v>
      </c>
      <c r="D6" s="24"/>
      <c r="E6" s="25" t="n">
        <v>144</v>
      </c>
      <c r="F6" s="25" t="n">
        <v>208</v>
      </c>
      <c r="G6" s="25" t="n">
        <v>272</v>
      </c>
      <c r="H6" s="25" t="n">
        <v>360</v>
      </c>
      <c r="I6" s="26" t="n">
        <v>0.42</v>
      </c>
      <c r="J6" s="27" t="n">
        <v>38</v>
      </c>
      <c r="K6" s="28" t="s">
        <v>115</v>
      </c>
    </row>
    <row r="7" customFormat="false" ht="15" hidden="false" customHeight="false" outlineLevel="0" collapsed="false">
      <c r="A7" s="24" t="s">
        <v>118</v>
      </c>
      <c r="B7" s="24" t="s">
        <v>119</v>
      </c>
      <c r="C7" s="24" t="s">
        <v>111</v>
      </c>
      <c r="D7" s="24"/>
      <c r="E7" s="25" t="n">
        <v>180</v>
      </c>
      <c r="F7" s="25" t="n">
        <v>260</v>
      </c>
      <c r="G7" s="25" t="n">
        <v>340</v>
      </c>
      <c r="H7" s="25" t="n">
        <v>450</v>
      </c>
      <c r="I7" s="26" t="n">
        <v>0.76</v>
      </c>
      <c r="J7" s="27" t="n">
        <v>72</v>
      </c>
      <c r="K7" s="24" t="s">
        <v>112</v>
      </c>
    </row>
    <row r="8" customFormat="false" ht="15" hidden="false" customHeight="false" outlineLevel="0" collapsed="false">
      <c r="A8" s="24" t="s">
        <v>120</v>
      </c>
      <c r="B8" s="24" t="s">
        <v>121</v>
      </c>
      <c r="C8" s="24" t="s">
        <v>111</v>
      </c>
      <c r="D8" s="24"/>
      <c r="E8" s="25" t="n">
        <v>180</v>
      </c>
      <c r="F8" s="25" t="n">
        <v>260</v>
      </c>
      <c r="G8" s="25" t="n">
        <v>340</v>
      </c>
      <c r="H8" s="25" t="n">
        <v>450</v>
      </c>
      <c r="I8" s="26" t="n">
        <v>0.76</v>
      </c>
      <c r="J8" s="27" t="n">
        <v>72</v>
      </c>
      <c r="K8" s="24" t="s">
        <v>112</v>
      </c>
    </row>
    <row r="9" customFormat="false" ht="15" hidden="false" customHeight="false" outlineLevel="0" collapsed="false">
      <c r="A9" s="24" t="s">
        <v>122</v>
      </c>
      <c r="B9" s="24" t="s">
        <v>123</v>
      </c>
      <c r="C9" s="24" t="s">
        <v>111</v>
      </c>
      <c r="D9" s="24"/>
      <c r="E9" s="25" t="n">
        <v>180</v>
      </c>
      <c r="F9" s="25" t="n">
        <v>260</v>
      </c>
      <c r="G9" s="25" t="n">
        <v>340</v>
      </c>
      <c r="H9" s="25" t="n">
        <v>450</v>
      </c>
      <c r="I9" s="26" t="n">
        <v>0.76</v>
      </c>
      <c r="J9" s="27" t="n">
        <v>72</v>
      </c>
      <c r="K9" s="24" t="s">
        <v>112</v>
      </c>
    </row>
    <row r="10" customFormat="false" ht="15" hidden="false" customHeight="false" outlineLevel="0" collapsed="false">
      <c r="A10" s="24" t="s">
        <v>124</v>
      </c>
      <c r="B10" s="24" t="s">
        <v>125</v>
      </c>
      <c r="C10" s="24" t="s">
        <v>111</v>
      </c>
      <c r="D10" s="24"/>
      <c r="E10" s="25" t="n">
        <v>180</v>
      </c>
      <c r="F10" s="25" t="n">
        <v>260</v>
      </c>
      <c r="G10" s="25" t="n">
        <v>340</v>
      </c>
      <c r="H10" s="25" t="n">
        <v>450</v>
      </c>
      <c r="I10" s="26" t="n">
        <v>0.76</v>
      </c>
      <c r="J10" s="27" t="n">
        <v>72</v>
      </c>
      <c r="K10" s="24" t="s">
        <v>112</v>
      </c>
    </row>
    <row r="11" customFormat="false" ht="15" hidden="false" customHeight="false" outlineLevel="0" collapsed="false">
      <c r="A11" s="24" t="s">
        <v>126</v>
      </c>
      <c r="B11" s="24" t="s">
        <v>110</v>
      </c>
      <c r="C11" s="24" t="s">
        <v>111</v>
      </c>
      <c r="D11" s="24"/>
      <c r="E11" s="25" t="n">
        <v>180</v>
      </c>
      <c r="F11" s="25" t="n">
        <v>260</v>
      </c>
      <c r="G11" s="25" t="n">
        <v>340</v>
      </c>
      <c r="H11" s="25" t="n">
        <v>450</v>
      </c>
      <c r="I11" s="26" t="n">
        <v>0.68</v>
      </c>
      <c r="J11" s="27" t="n">
        <v>62</v>
      </c>
      <c r="K11" s="24" t="s">
        <v>112</v>
      </c>
    </row>
    <row r="12" customFormat="false" ht="15" hidden="false" customHeight="false" outlineLevel="0" collapsed="false">
      <c r="A12" s="24" t="s">
        <v>127</v>
      </c>
      <c r="B12" s="24" t="s">
        <v>114</v>
      </c>
      <c r="C12" s="24" t="s">
        <v>111</v>
      </c>
      <c r="D12" s="24"/>
      <c r="E12" s="25" t="n">
        <v>144</v>
      </c>
      <c r="F12" s="25" t="n">
        <v>208</v>
      </c>
      <c r="G12" s="25" t="n">
        <v>272</v>
      </c>
      <c r="H12" s="25" t="n">
        <v>360</v>
      </c>
      <c r="I12" s="26" t="n">
        <v>0.42</v>
      </c>
      <c r="J12" s="27" t="n">
        <v>38</v>
      </c>
      <c r="K12" s="28" t="s">
        <v>115</v>
      </c>
    </row>
    <row r="13" customFormat="false" ht="15" hidden="false" customHeight="false" outlineLevel="0" collapsed="false">
      <c r="A13" s="24" t="s">
        <v>128</v>
      </c>
      <c r="B13" s="24" t="s">
        <v>117</v>
      </c>
      <c r="C13" s="24" t="s">
        <v>111</v>
      </c>
      <c r="D13" s="24"/>
      <c r="E13" s="25" t="n">
        <v>144</v>
      </c>
      <c r="F13" s="25" t="n">
        <v>208</v>
      </c>
      <c r="G13" s="25" t="n">
        <v>272</v>
      </c>
      <c r="H13" s="25" t="n">
        <v>360</v>
      </c>
      <c r="I13" s="26" t="n">
        <v>0.42</v>
      </c>
      <c r="J13" s="27" t="n">
        <v>38</v>
      </c>
      <c r="K13" s="28" t="s">
        <v>115</v>
      </c>
    </row>
    <row r="14" customFormat="false" ht="15" hidden="false" customHeight="false" outlineLevel="0" collapsed="false">
      <c r="A14" s="24" t="s">
        <v>129</v>
      </c>
      <c r="B14" s="24" t="s">
        <v>119</v>
      </c>
      <c r="C14" s="24" t="s">
        <v>111</v>
      </c>
      <c r="D14" s="24"/>
      <c r="E14" s="25" t="n">
        <v>180</v>
      </c>
      <c r="F14" s="25" t="n">
        <v>260</v>
      </c>
      <c r="G14" s="25" t="n">
        <v>340</v>
      </c>
      <c r="H14" s="25" t="n">
        <v>450</v>
      </c>
      <c r="I14" s="26" t="n">
        <v>0.76</v>
      </c>
      <c r="J14" s="27" t="n">
        <v>72</v>
      </c>
      <c r="K14" s="24" t="s">
        <v>112</v>
      </c>
    </row>
    <row r="15" customFormat="false" ht="15" hidden="false" customHeight="false" outlineLevel="0" collapsed="false">
      <c r="A15" s="24" t="s">
        <v>130</v>
      </c>
      <c r="B15" s="24" t="s">
        <v>121</v>
      </c>
      <c r="C15" s="24" t="s">
        <v>111</v>
      </c>
      <c r="D15" s="24"/>
      <c r="E15" s="25" t="n">
        <v>180</v>
      </c>
      <c r="F15" s="25" t="n">
        <v>260</v>
      </c>
      <c r="G15" s="25" t="n">
        <v>340</v>
      </c>
      <c r="H15" s="25" t="n">
        <v>450</v>
      </c>
      <c r="I15" s="26" t="n">
        <v>0.76</v>
      </c>
      <c r="J15" s="27" t="n">
        <v>72</v>
      </c>
      <c r="K15" s="24" t="s">
        <v>112</v>
      </c>
    </row>
    <row r="16" customFormat="false" ht="15" hidden="false" customHeight="false" outlineLevel="0" collapsed="false">
      <c r="A16" s="24" t="s">
        <v>131</v>
      </c>
      <c r="B16" s="24" t="s">
        <v>123</v>
      </c>
      <c r="C16" s="24" t="s">
        <v>111</v>
      </c>
      <c r="D16" s="24"/>
      <c r="E16" s="25" t="n">
        <v>180</v>
      </c>
      <c r="F16" s="25" t="n">
        <v>260</v>
      </c>
      <c r="G16" s="25" t="n">
        <v>340</v>
      </c>
      <c r="H16" s="25" t="n">
        <v>450</v>
      </c>
      <c r="I16" s="26" t="n">
        <v>0.76</v>
      </c>
      <c r="J16" s="27" t="n">
        <v>72</v>
      </c>
      <c r="K16" s="24" t="s">
        <v>112</v>
      </c>
    </row>
    <row r="17" customFormat="false" ht="15" hidden="false" customHeight="false" outlineLevel="0" collapsed="false">
      <c r="A17" s="24" t="s">
        <v>132</v>
      </c>
      <c r="B17" s="24" t="s">
        <v>125</v>
      </c>
      <c r="C17" s="24" t="s">
        <v>111</v>
      </c>
      <c r="D17" s="24" t="s">
        <v>133</v>
      </c>
      <c r="E17" s="25" t="n">
        <v>243</v>
      </c>
      <c r="F17" s="25" t="n">
        <v>351</v>
      </c>
      <c r="G17" s="25" t="n">
        <v>459</v>
      </c>
      <c r="H17" s="25" t="n">
        <v>607</v>
      </c>
      <c r="I17" s="26" t="n">
        <v>0.93</v>
      </c>
      <c r="J17" s="27" t="n">
        <v>96</v>
      </c>
      <c r="K17" s="29" t="s">
        <v>134</v>
      </c>
    </row>
    <row r="18" customFormat="false" ht="15" hidden="false" customHeight="false" outlineLevel="0" collapsed="false">
      <c r="A18" s="24" t="s">
        <v>135</v>
      </c>
      <c r="B18" s="24" t="s">
        <v>110</v>
      </c>
      <c r="C18" s="24" t="s">
        <v>111</v>
      </c>
      <c r="D18" s="24" t="s">
        <v>133</v>
      </c>
      <c r="E18" s="25" t="n">
        <v>243</v>
      </c>
      <c r="F18" s="25" t="n">
        <v>351</v>
      </c>
      <c r="G18" s="25" t="n">
        <v>459</v>
      </c>
      <c r="H18" s="25" t="n">
        <v>607</v>
      </c>
      <c r="I18" s="26" t="n">
        <v>0.93</v>
      </c>
      <c r="J18" s="27" t="n">
        <v>96</v>
      </c>
      <c r="K18" s="29" t="s">
        <v>134</v>
      </c>
    </row>
    <row r="19" customFormat="false" ht="15" hidden="false" customHeight="false" outlineLevel="0" collapsed="false">
      <c r="A19" s="24" t="s">
        <v>136</v>
      </c>
      <c r="B19" s="24" t="s">
        <v>114</v>
      </c>
      <c r="C19" s="24" t="s">
        <v>111</v>
      </c>
      <c r="D19" s="24" t="s">
        <v>133</v>
      </c>
      <c r="E19" s="25" t="n">
        <v>243</v>
      </c>
      <c r="F19" s="25" t="n">
        <v>351</v>
      </c>
      <c r="G19" s="25" t="n">
        <v>459</v>
      </c>
      <c r="H19" s="25" t="n">
        <v>607</v>
      </c>
      <c r="I19" s="26" t="n">
        <v>0.93</v>
      </c>
      <c r="J19" s="27" t="n">
        <v>96</v>
      </c>
      <c r="K19" s="29" t="s">
        <v>134</v>
      </c>
    </row>
    <row r="20" customFormat="false" ht="15" hidden="false" customHeight="false" outlineLevel="0" collapsed="false">
      <c r="A20" s="24" t="s">
        <v>137</v>
      </c>
      <c r="B20" s="24" t="s">
        <v>117</v>
      </c>
      <c r="C20" s="24" t="s">
        <v>111</v>
      </c>
      <c r="D20" s="24"/>
      <c r="E20" s="25" t="n">
        <v>144</v>
      </c>
      <c r="F20" s="25" t="n">
        <v>208</v>
      </c>
      <c r="G20" s="25" t="n">
        <v>272</v>
      </c>
      <c r="H20" s="25" t="n">
        <v>360</v>
      </c>
      <c r="I20" s="26" t="n">
        <v>0.42</v>
      </c>
      <c r="J20" s="27" t="n">
        <v>38</v>
      </c>
      <c r="K20" s="28" t="s">
        <v>115</v>
      </c>
    </row>
    <row r="21" customFormat="false" ht="15" hidden="false" customHeight="false" outlineLevel="0" collapsed="false">
      <c r="A21" s="24" t="s">
        <v>138</v>
      </c>
      <c r="B21" s="24" t="s">
        <v>119</v>
      </c>
      <c r="C21" s="24" t="s">
        <v>111</v>
      </c>
      <c r="D21" s="24"/>
      <c r="E21" s="25" t="n">
        <v>180</v>
      </c>
      <c r="F21" s="25" t="n">
        <v>260</v>
      </c>
      <c r="G21" s="25" t="n">
        <v>340</v>
      </c>
      <c r="H21" s="25" t="n">
        <v>450</v>
      </c>
      <c r="I21" s="26" t="n">
        <v>0.76</v>
      </c>
      <c r="J21" s="27" t="n">
        <v>72</v>
      </c>
      <c r="K21" s="24" t="s">
        <v>112</v>
      </c>
    </row>
    <row r="22" customFormat="false" ht="15" hidden="false" customHeight="false" outlineLevel="0" collapsed="false">
      <c r="A22" s="24" t="s">
        <v>139</v>
      </c>
      <c r="B22" s="24" t="s">
        <v>121</v>
      </c>
      <c r="C22" s="24" t="s">
        <v>111</v>
      </c>
      <c r="D22" s="24"/>
      <c r="E22" s="25" t="n">
        <v>180</v>
      </c>
      <c r="F22" s="25" t="n">
        <v>260</v>
      </c>
      <c r="G22" s="25" t="n">
        <v>340</v>
      </c>
      <c r="H22" s="25" t="n">
        <v>450</v>
      </c>
      <c r="I22" s="26" t="n">
        <v>0.76</v>
      </c>
      <c r="J22" s="27" t="n">
        <v>72</v>
      </c>
      <c r="K22" s="24" t="s">
        <v>112</v>
      </c>
    </row>
    <row r="23" customFormat="false" ht="15" hidden="false" customHeight="false" outlineLevel="0" collapsed="false">
      <c r="A23" s="24" t="s">
        <v>140</v>
      </c>
      <c r="B23" s="24" t="s">
        <v>123</v>
      </c>
      <c r="C23" s="24" t="s">
        <v>111</v>
      </c>
      <c r="D23" s="24"/>
      <c r="E23" s="25" t="n">
        <v>180</v>
      </c>
      <c r="F23" s="25" t="n">
        <v>260</v>
      </c>
      <c r="G23" s="25" t="n">
        <v>340</v>
      </c>
      <c r="H23" s="25" t="n">
        <v>450</v>
      </c>
      <c r="I23" s="26" t="n">
        <v>0.76</v>
      </c>
      <c r="J23" s="27" t="n">
        <v>72</v>
      </c>
      <c r="K23" s="24" t="s">
        <v>112</v>
      </c>
    </row>
    <row r="24" customFormat="false" ht="15" hidden="false" customHeight="false" outlineLevel="0" collapsed="false">
      <c r="A24" s="24" t="s">
        <v>141</v>
      </c>
      <c r="B24" s="24" t="s">
        <v>125</v>
      </c>
      <c r="C24" s="24" t="s">
        <v>111</v>
      </c>
      <c r="D24" s="24"/>
      <c r="E24" s="25" t="n">
        <v>180</v>
      </c>
      <c r="F24" s="25" t="n">
        <v>260</v>
      </c>
      <c r="G24" s="25" t="n">
        <v>340</v>
      </c>
      <c r="H24" s="25" t="n">
        <v>450</v>
      </c>
      <c r="I24" s="26" t="n">
        <v>0.76</v>
      </c>
      <c r="J24" s="27" t="n">
        <v>72</v>
      </c>
      <c r="K24" s="24" t="s">
        <v>112</v>
      </c>
    </row>
    <row r="25" customFormat="false" ht="15" hidden="false" customHeight="false" outlineLevel="0" collapsed="false">
      <c r="A25" s="24" t="s">
        <v>142</v>
      </c>
      <c r="B25" s="24" t="s">
        <v>110</v>
      </c>
      <c r="C25" s="24" t="s">
        <v>111</v>
      </c>
      <c r="D25" s="24" t="s">
        <v>143</v>
      </c>
      <c r="E25" s="25" t="n">
        <v>243</v>
      </c>
      <c r="F25" s="25" t="n">
        <v>351</v>
      </c>
      <c r="G25" s="25" t="n">
        <v>459</v>
      </c>
      <c r="H25" s="25" t="n">
        <v>607</v>
      </c>
      <c r="I25" s="26" t="n">
        <v>0.93</v>
      </c>
      <c r="J25" s="27" t="n">
        <v>96</v>
      </c>
      <c r="K25" s="29" t="s">
        <v>134</v>
      </c>
    </row>
    <row r="26" customFormat="false" ht="15" hidden="false" customHeight="false" outlineLevel="0" collapsed="false">
      <c r="A26" s="24" t="s">
        <v>144</v>
      </c>
      <c r="B26" s="24" t="s">
        <v>114</v>
      </c>
      <c r="C26" s="24" t="s">
        <v>111</v>
      </c>
      <c r="D26" s="24" t="s">
        <v>143</v>
      </c>
      <c r="E26" s="25" t="n">
        <v>243</v>
      </c>
      <c r="F26" s="25" t="n">
        <v>351</v>
      </c>
      <c r="G26" s="25" t="n">
        <v>459</v>
      </c>
      <c r="H26" s="25" t="n">
        <v>607</v>
      </c>
      <c r="I26" s="26" t="n">
        <v>0.93</v>
      </c>
      <c r="J26" s="27" t="n">
        <v>96</v>
      </c>
      <c r="K26" s="29" t="s">
        <v>134</v>
      </c>
    </row>
    <row r="27" customFormat="false" ht="15" hidden="false" customHeight="false" outlineLevel="0" collapsed="false">
      <c r="A27" s="24" t="s">
        <v>145</v>
      </c>
      <c r="B27" s="24" t="s">
        <v>117</v>
      </c>
      <c r="C27" s="24" t="s">
        <v>111</v>
      </c>
      <c r="D27" s="24"/>
      <c r="E27" s="25" t="n">
        <v>144</v>
      </c>
      <c r="F27" s="25" t="n">
        <v>208</v>
      </c>
      <c r="G27" s="25" t="n">
        <v>272</v>
      </c>
      <c r="H27" s="25" t="n">
        <v>360</v>
      </c>
      <c r="I27" s="26" t="n">
        <v>0.42</v>
      </c>
      <c r="J27" s="27" t="n">
        <v>38</v>
      </c>
      <c r="K27" s="28" t="s">
        <v>115</v>
      </c>
    </row>
    <row r="28" customFormat="false" ht="15" hidden="false" customHeight="false" outlineLevel="0" collapsed="false">
      <c r="A28" s="24" t="s">
        <v>146</v>
      </c>
      <c r="B28" s="24" t="s">
        <v>119</v>
      </c>
      <c r="C28" s="24" t="s">
        <v>111</v>
      </c>
      <c r="D28" s="24"/>
      <c r="E28" s="25" t="n">
        <v>180</v>
      </c>
      <c r="F28" s="25" t="n">
        <v>260</v>
      </c>
      <c r="G28" s="25" t="n">
        <v>340</v>
      </c>
      <c r="H28" s="25" t="n">
        <v>450</v>
      </c>
      <c r="I28" s="26" t="n">
        <v>0.76</v>
      </c>
      <c r="J28" s="27" t="n">
        <v>72</v>
      </c>
      <c r="K28" s="24" t="s">
        <v>112</v>
      </c>
    </row>
    <row r="29" customFormat="false" ht="15" hidden="false" customHeight="false" outlineLevel="0" collapsed="false">
      <c r="A29" s="24" t="s">
        <v>147</v>
      </c>
      <c r="B29" s="24" t="s">
        <v>121</v>
      </c>
      <c r="C29" s="24" t="s">
        <v>111</v>
      </c>
      <c r="D29" s="24"/>
      <c r="E29" s="25" t="n">
        <v>180</v>
      </c>
      <c r="F29" s="25" t="n">
        <v>260</v>
      </c>
      <c r="G29" s="25" t="n">
        <v>340</v>
      </c>
      <c r="H29" s="25" t="n">
        <v>450</v>
      </c>
      <c r="I29" s="26" t="n">
        <v>0.76</v>
      </c>
      <c r="J29" s="27" t="n">
        <v>72</v>
      </c>
      <c r="K29" s="24" t="s">
        <v>112</v>
      </c>
    </row>
    <row r="30" customFormat="false" ht="15" hidden="false" customHeight="false" outlineLevel="0" collapsed="false">
      <c r="A30" s="24" t="s">
        <v>148</v>
      </c>
      <c r="B30" s="24" t="s">
        <v>123</v>
      </c>
      <c r="C30" s="24" t="s">
        <v>111</v>
      </c>
      <c r="D30" s="24"/>
      <c r="E30" s="25" t="n">
        <v>180</v>
      </c>
      <c r="F30" s="25" t="n">
        <v>260</v>
      </c>
      <c r="G30" s="25" t="n">
        <v>340</v>
      </c>
      <c r="H30" s="25" t="n">
        <v>450</v>
      </c>
      <c r="I30" s="26" t="n">
        <v>0.76</v>
      </c>
      <c r="J30" s="27" t="n">
        <v>72</v>
      </c>
      <c r="K30" s="24" t="s">
        <v>112</v>
      </c>
    </row>
    <row r="31" customFormat="false" ht="15" hidden="false" customHeight="false" outlineLevel="0" collapsed="false">
      <c r="A31" s="24" t="s">
        <v>149</v>
      </c>
      <c r="B31" s="24" t="s">
        <v>125</v>
      </c>
      <c r="C31" s="24" t="s">
        <v>111</v>
      </c>
      <c r="D31" s="24"/>
      <c r="E31" s="25" t="n">
        <v>180</v>
      </c>
      <c r="F31" s="25" t="n">
        <v>260</v>
      </c>
      <c r="G31" s="25" t="n">
        <v>340</v>
      </c>
      <c r="H31" s="25" t="n">
        <v>450</v>
      </c>
      <c r="I31" s="26" t="n">
        <v>0.76</v>
      </c>
      <c r="J31" s="27" t="n">
        <v>72</v>
      </c>
      <c r="K31" s="24" t="s">
        <v>112</v>
      </c>
    </row>
    <row r="32" customFormat="false" ht="15" hidden="false" customHeight="false" outlineLevel="0" collapsed="false">
      <c r="A32" s="24" t="s">
        <v>150</v>
      </c>
      <c r="B32" s="24" t="s">
        <v>110</v>
      </c>
      <c r="C32" s="24" t="s">
        <v>111</v>
      </c>
      <c r="D32" s="24"/>
      <c r="E32" s="25" t="n">
        <v>180</v>
      </c>
      <c r="F32" s="25" t="n">
        <v>260</v>
      </c>
      <c r="G32" s="25" t="n">
        <v>340</v>
      </c>
      <c r="H32" s="25" t="n">
        <v>450</v>
      </c>
      <c r="I32" s="26" t="n">
        <v>0.68</v>
      </c>
      <c r="J32" s="27" t="n">
        <v>62</v>
      </c>
      <c r="K32" s="24" t="s">
        <v>112</v>
      </c>
    </row>
    <row r="33" customFormat="false" ht="15" hidden="false" customHeight="false" outlineLevel="0" collapsed="false">
      <c r="A33" s="24" t="s">
        <v>151</v>
      </c>
      <c r="B33" s="24" t="s">
        <v>114</v>
      </c>
      <c r="C33" s="24" t="s">
        <v>111</v>
      </c>
      <c r="D33" s="24"/>
      <c r="E33" s="25" t="n">
        <v>144</v>
      </c>
      <c r="F33" s="25" t="n">
        <v>208</v>
      </c>
      <c r="G33" s="25" t="n">
        <v>272</v>
      </c>
      <c r="H33" s="25" t="n">
        <v>360</v>
      </c>
      <c r="I33" s="26" t="n">
        <v>0.42</v>
      </c>
      <c r="J33" s="27" t="n">
        <v>38</v>
      </c>
      <c r="K33" s="28" t="s">
        <v>115</v>
      </c>
    </row>
    <row r="34" customFormat="false" ht="15" hidden="false" customHeight="false" outlineLevel="0" collapsed="false">
      <c r="A34" s="24" t="s">
        <v>152</v>
      </c>
      <c r="B34" s="24" t="s">
        <v>117</v>
      </c>
      <c r="C34" s="24" t="s">
        <v>111</v>
      </c>
      <c r="D34" s="24"/>
      <c r="E34" s="25" t="n">
        <v>144</v>
      </c>
      <c r="F34" s="25" t="n">
        <v>208</v>
      </c>
      <c r="G34" s="25" t="n">
        <v>272</v>
      </c>
      <c r="H34" s="25" t="n">
        <v>360</v>
      </c>
      <c r="I34" s="26" t="n">
        <v>0.42</v>
      </c>
      <c r="J34" s="27" t="n">
        <v>38</v>
      </c>
      <c r="K34" s="28" t="s">
        <v>115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5"/>
    <col collapsed="false" customWidth="true" hidden="false" outlineLevel="0" max="4" min="4" style="0" width="20"/>
    <col collapsed="false" customWidth="true" hidden="false" outlineLevel="0" max="5" min="5" style="0" width="25"/>
  </cols>
  <sheetData>
    <row r="1" customFormat="false" ht="19.7" hidden="false" customHeight="false" outlineLevel="0" collapsed="false">
      <c r="A1" s="16" t="s">
        <v>153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17" t="s">
        <v>154</v>
      </c>
    </row>
    <row r="4" customFormat="false" ht="15" hidden="false" customHeight="false" outlineLevel="0" collapsed="false">
      <c r="A4" s="13" t="s">
        <v>155</v>
      </c>
      <c r="B4" s="13" t="s">
        <v>72</v>
      </c>
      <c r="C4" s="13" t="s">
        <v>156</v>
      </c>
      <c r="D4" s="13" t="s">
        <v>10</v>
      </c>
      <c r="E4" s="13" t="s">
        <v>157</v>
      </c>
    </row>
    <row r="5" customFormat="false" ht="15" hidden="false" customHeight="false" outlineLevel="0" collapsed="false">
      <c r="A5" s="0" t="s">
        <v>12</v>
      </c>
      <c r="B5" s="0" t="s">
        <v>75</v>
      </c>
      <c r="C5" s="30" t="n">
        <v>130</v>
      </c>
      <c r="D5" s="30" t="n">
        <v>180</v>
      </c>
      <c r="E5" s="30" t="n">
        <v>270</v>
      </c>
    </row>
    <row r="6" customFormat="false" ht="15" hidden="false" customHeight="false" outlineLevel="0" collapsed="false">
      <c r="A6" s="0" t="s">
        <v>14</v>
      </c>
      <c r="B6" s="0" t="s">
        <v>78</v>
      </c>
      <c r="C6" s="30" t="n">
        <v>190</v>
      </c>
      <c r="D6" s="30" t="n">
        <v>260</v>
      </c>
      <c r="E6" s="30" t="n">
        <v>380</v>
      </c>
    </row>
    <row r="7" customFormat="false" ht="15" hidden="false" customHeight="false" outlineLevel="0" collapsed="false">
      <c r="A7" s="0" t="s">
        <v>16</v>
      </c>
      <c r="B7" s="0" t="s">
        <v>81</v>
      </c>
      <c r="C7" s="30" t="n">
        <v>250</v>
      </c>
      <c r="D7" s="30" t="n">
        <v>340</v>
      </c>
      <c r="E7" s="30" t="n">
        <v>500</v>
      </c>
    </row>
    <row r="8" customFormat="false" ht="15" hidden="false" customHeight="false" outlineLevel="0" collapsed="false">
      <c r="A8" s="0" t="s">
        <v>17</v>
      </c>
      <c r="B8" s="0" t="s">
        <v>84</v>
      </c>
      <c r="C8" s="30" t="n">
        <v>330</v>
      </c>
      <c r="D8" s="30" t="n">
        <v>450</v>
      </c>
      <c r="E8" s="30" t="n">
        <v>650</v>
      </c>
    </row>
    <row r="11" customFormat="false" ht="15" hidden="false" customHeight="false" outlineLevel="0" collapsed="false">
      <c r="A11" s="17" t="s">
        <v>158</v>
      </c>
    </row>
    <row r="12" customFormat="false" ht="15" hidden="false" customHeight="false" outlineLevel="0" collapsed="false">
      <c r="A12" s="13" t="s">
        <v>159</v>
      </c>
      <c r="B12" s="13" t="s">
        <v>160</v>
      </c>
      <c r="C12" s="13" t="s">
        <v>161</v>
      </c>
      <c r="D12" s="13" t="s">
        <v>108</v>
      </c>
      <c r="E12" s="13" t="s">
        <v>162</v>
      </c>
    </row>
    <row r="13" customFormat="false" ht="15" hidden="false" customHeight="false" outlineLevel="0" collapsed="false">
      <c r="A13" s="0" t="s">
        <v>163</v>
      </c>
      <c r="B13" s="0" t="s">
        <v>164</v>
      </c>
      <c r="C13" s="4" t="n">
        <v>1.35</v>
      </c>
      <c r="D13" s="5" t="s">
        <v>134</v>
      </c>
      <c r="E13" s="5" t="s">
        <v>165</v>
      </c>
    </row>
    <row r="14" customFormat="false" ht="15" hidden="false" customHeight="false" outlineLevel="0" collapsed="false">
      <c r="A14" s="0" t="s">
        <v>166</v>
      </c>
      <c r="B14" s="0" t="s">
        <v>167</v>
      </c>
      <c r="C14" s="4" t="n">
        <v>1.15</v>
      </c>
      <c r="D14" s="5" t="s">
        <v>168</v>
      </c>
      <c r="E14" s="5" t="s">
        <v>169</v>
      </c>
    </row>
    <row r="15" customFormat="false" ht="15" hidden="false" customHeight="false" outlineLevel="0" collapsed="false">
      <c r="A15" s="0" t="s">
        <v>170</v>
      </c>
      <c r="B15" s="0" t="s">
        <v>171</v>
      </c>
      <c r="C15" s="4" t="n">
        <v>1</v>
      </c>
      <c r="D15" s="5" t="s">
        <v>112</v>
      </c>
      <c r="E15" s="5" t="s">
        <v>172</v>
      </c>
    </row>
    <row r="16" customFormat="false" ht="15" hidden="false" customHeight="false" outlineLevel="0" collapsed="false">
      <c r="A16" s="0" t="s">
        <v>173</v>
      </c>
      <c r="B16" s="0" t="s">
        <v>174</v>
      </c>
      <c r="C16" s="4" t="n">
        <v>0.9</v>
      </c>
      <c r="D16" s="5" t="s">
        <v>175</v>
      </c>
      <c r="E16" s="5" t="s">
        <v>176</v>
      </c>
    </row>
    <row r="17" customFormat="false" ht="15" hidden="false" customHeight="false" outlineLevel="0" collapsed="false">
      <c r="A17" s="0" t="s">
        <v>177</v>
      </c>
      <c r="B17" s="0" t="s">
        <v>178</v>
      </c>
      <c r="C17" s="4" t="n">
        <v>0.8</v>
      </c>
      <c r="D17" s="5" t="s">
        <v>179</v>
      </c>
      <c r="E17" s="5" t="s">
        <v>180</v>
      </c>
    </row>
    <row r="20" customFormat="false" ht="15" hidden="false" customHeight="false" outlineLevel="0" collapsed="false">
      <c r="A20" s="17" t="s">
        <v>181</v>
      </c>
    </row>
    <row r="21" customFormat="false" ht="15" hidden="false" customHeight="false" outlineLevel="0" collapsed="false">
      <c r="A21" s="13" t="s">
        <v>19</v>
      </c>
      <c r="B21" s="13" t="s">
        <v>182</v>
      </c>
      <c r="C21" s="13" t="s">
        <v>183</v>
      </c>
      <c r="D21" s="13" t="s">
        <v>184</v>
      </c>
    </row>
    <row r="22" customFormat="false" ht="15" hidden="false" customHeight="false" outlineLevel="0" collapsed="false">
      <c r="A22" s="0" t="s">
        <v>23</v>
      </c>
      <c r="B22" s="31" t="n">
        <v>0.18</v>
      </c>
      <c r="C22" s="31" t="n">
        <v>0.05</v>
      </c>
      <c r="D22" s="0" t="n">
        <v>1</v>
      </c>
    </row>
    <row r="23" customFormat="false" ht="15" hidden="false" customHeight="false" outlineLevel="0" collapsed="false">
      <c r="A23" s="0" t="s">
        <v>24</v>
      </c>
      <c r="B23" s="31" t="n">
        <v>0.1</v>
      </c>
      <c r="C23" s="31" t="n">
        <v>0.1</v>
      </c>
      <c r="D23" s="0" t="n">
        <v>1</v>
      </c>
    </row>
    <row r="24" customFormat="false" ht="15" hidden="false" customHeight="false" outlineLevel="0" collapsed="false">
      <c r="A24" s="0" t="s">
        <v>25</v>
      </c>
      <c r="B24" s="31" t="n">
        <v>0.05</v>
      </c>
      <c r="C24" s="31" t="n">
        <v>0.15</v>
      </c>
      <c r="D24" s="0" t="n">
        <v>1</v>
      </c>
    </row>
    <row r="25" customFormat="false" ht="15" hidden="false" customHeight="false" outlineLevel="0" collapsed="false">
      <c r="A25" s="0" t="s">
        <v>26</v>
      </c>
      <c r="B25" s="31" t="n">
        <v>0.08</v>
      </c>
      <c r="C25" s="31" t="n">
        <v>0.18</v>
      </c>
      <c r="D25" s="0" t="n">
        <v>2</v>
      </c>
    </row>
    <row r="26" customFormat="false" ht="15" hidden="false" customHeight="false" outlineLevel="0" collapsed="false">
      <c r="A26" s="0" t="s">
        <v>27</v>
      </c>
      <c r="B26" s="31" t="n">
        <v>0.22</v>
      </c>
      <c r="C26" s="31" t="n">
        <v>0.08</v>
      </c>
      <c r="D26" s="0" t="n">
        <v>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12" min="9" style="0" width="13"/>
    <col collapsed="false" customWidth="true" hidden="false" outlineLevel="0" max="13" min="13" style="0" width="11"/>
    <col collapsed="false" customWidth="true" hidden="false" outlineLevel="0" max="14" min="14" style="0" width="13"/>
  </cols>
  <sheetData>
    <row r="1" customFormat="false" ht="19.7" hidden="false" customHeight="false" outlineLevel="0" collapsed="false">
      <c r="A1" s="16" t="s">
        <v>185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customFormat="false" ht="28.35" hidden="false" customHeight="false" outlineLevel="0" collapsed="false">
      <c r="A3" s="32" t="s">
        <v>186</v>
      </c>
      <c r="B3" s="32" t="s">
        <v>187</v>
      </c>
      <c r="C3" s="32" t="s">
        <v>103</v>
      </c>
      <c r="D3" s="32" t="s">
        <v>188</v>
      </c>
      <c r="E3" s="32" t="s">
        <v>189</v>
      </c>
      <c r="F3" s="32" t="s">
        <v>190</v>
      </c>
      <c r="G3" s="32" t="s">
        <v>21</v>
      </c>
      <c r="H3" s="32" t="s">
        <v>191</v>
      </c>
      <c r="I3" s="32" t="s">
        <v>192</v>
      </c>
      <c r="J3" s="32" t="s">
        <v>15</v>
      </c>
      <c r="K3" s="32" t="s">
        <v>6</v>
      </c>
      <c r="L3" s="32" t="s">
        <v>11</v>
      </c>
      <c r="M3" s="32" t="s">
        <v>193</v>
      </c>
      <c r="N3" s="32" t="s">
        <v>194</v>
      </c>
    </row>
    <row r="4" customFormat="false" ht="15" hidden="false" customHeight="false" outlineLevel="0" collapsed="false">
      <c r="A4" s="0" t="s">
        <v>195</v>
      </c>
      <c r="B4" s="0" t="n">
        <v>2025</v>
      </c>
      <c r="C4" s="0" t="s">
        <v>170</v>
      </c>
      <c r="D4" s="0" t="n">
        <v>3810</v>
      </c>
      <c r="E4" s="0" t="n">
        <v>5400</v>
      </c>
      <c r="F4" s="33" t="n">
        <v>0.705730447105601</v>
      </c>
      <c r="G4" s="15" t="n">
        <v>232.618032660642</v>
      </c>
      <c r="H4" s="15" t="n">
        <v>886274.704437045</v>
      </c>
      <c r="I4" s="15" t="n">
        <v>239294.170198002</v>
      </c>
      <c r="J4" s="15" t="n">
        <v>208.438680487972</v>
      </c>
      <c r="K4" s="15" t="n">
        <f aca="false">H4/E4</f>
        <v>164.124945266119</v>
      </c>
      <c r="L4" s="15" t="n">
        <f aca="false">H4/D4</f>
        <v>232.618032660642</v>
      </c>
      <c r="M4" s="33" t="n">
        <f aca="false">D4/E4</f>
        <v>0.705555555555556</v>
      </c>
      <c r="N4" s="15" t="n">
        <f aca="false">(H4+I4)/E4</f>
        <v>208.438680487972</v>
      </c>
    </row>
    <row r="5" customFormat="false" ht="15" hidden="false" customHeight="false" outlineLevel="0" collapsed="false">
      <c r="A5" s="0" t="s">
        <v>196</v>
      </c>
      <c r="B5" s="0" t="n">
        <v>2025</v>
      </c>
      <c r="C5" s="0" t="s">
        <v>111</v>
      </c>
      <c r="D5" s="0" t="n">
        <v>4187</v>
      </c>
      <c r="E5" s="0" t="n">
        <v>5400</v>
      </c>
      <c r="F5" s="33" t="n">
        <v>0.775444294556187</v>
      </c>
      <c r="G5" s="15" t="n">
        <v>249.005242135875</v>
      </c>
      <c r="H5" s="15" t="n">
        <v>1042584.94882291</v>
      </c>
      <c r="I5" s="15" t="n">
        <v>281497.936182186</v>
      </c>
      <c r="J5" s="15" t="n">
        <v>245.200534260203</v>
      </c>
      <c r="K5" s="15" t="n">
        <f aca="false">H5/E5</f>
        <v>193.071286819057</v>
      </c>
      <c r="L5" s="15" t="n">
        <f aca="false">H5/D5</f>
        <v>249.005242135875</v>
      </c>
      <c r="M5" s="33" t="n">
        <f aca="false">D5/E5</f>
        <v>0.77537037037037</v>
      </c>
      <c r="N5" s="15" t="n">
        <f aca="false">(H5+I5)/E5</f>
        <v>245.200534260203</v>
      </c>
    </row>
    <row r="6" customFormat="false" ht="15" hidden="false" customHeight="false" outlineLevel="0" collapsed="false">
      <c r="A6" s="0" t="s">
        <v>197</v>
      </c>
      <c r="B6" s="0" t="n">
        <v>2025</v>
      </c>
      <c r="C6" s="0" t="s">
        <v>111</v>
      </c>
      <c r="D6" s="0" t="n">
        <v>4406</v>
      </c>
      <c r="E6" s="0" t="n">
        <v>5400</v>
      </c>
      <c r="F6" s="33" t="n">
        <v>0.816101837966809</v>
      </c>
      <c r="G6" s="15" t="n">
        <v>265.439086564059</v>
      </c>
      <c r="H6" s="15" t="n">
        <v>1169524.61540125</v>
      </c>
      <c r="I6" s="15" t="n">
        <v>315771.646158336</v>
      </c>
      <c r="J6" s="15" t="n">
        <v>275.054863251774</v>
      </c>
      <c r="K6" s="15" t="n">
        <f aca="false">H6/E6</f>
        <v>216.578632481712</v>
      </c>
      <c r="L6" s="15" t="n">
        <f aca="false">H6/D6</f>
        <v>265.439086564059</v>
      </c>
      <c r="M6" s="33" t="n">
        <f aca="false">D6/E6</f>
        <v>0.815925925925926</v>
      </c>
      <c r="N6" s="15" t="n">
        <f aca="false">(H6+I6)/E6</f>
        <v>275.054863251774</v>
      </c>
    </row>
    <row r="7" customFormat="false" ht="15" hidden="false" customHeight="false" outlineLevel="0" collapsed="false">
      <c r="A7" s="0" t="s">
        <v>198</v>
      </c>
      <c r="B7" s="0" t="n">
        <v>2025</v>
      </c>
      <c r="C7" s="0" t="s">
        <v>170</v>
      </c>
      <c r="D7" s="0" t="n">
        <v>3720</v>
      </c>
      <c r="E7" s="0" t="n">
        <v>5400</v>
      </c>
      <c r="F7" s="33" t="n">
        <v>0.68892712508808</v>
      </c>
      <c r="G7" s="15" t="n">
        <v>225.809701556057</v>
      </c>
      <c r="H7" s="15" t="n">
        <v>840012.089788532</v>
      </c>
      <c r="I7" s="15" t="n">
        <v>226803.264242904</v>
      </c>
      <c r="J7" s="15" t="n">
        <v>197.55839889471</v>
      </c>
      <c r="K7" s="15" t="n">
        <f aca="false">H7/E7</f>
        <v>155.557794405284</v>
      </c>
      <c r="L7" s="15" t="n">
        <f aca="false">H7/D7</f>
        <v>225.809701556057</v>
      </c>
      <c r="M7" s="33" t="n">
        <f aca="false">D7/E7</f>
        <v>0.688888888888889</v>
      </c>
      <c r="N7" s="15" t="n">
        <f aca="false">(H7+I7)/E7</f>
        <v>197.55839889471</v>
      </c>
    </row>
    <row r="8" customFormat="false" ht="15" hidden="false" customHeight="false" outlineLevel="0" collapsed="false">
      <c r="A8" s="0" t="s">
        <v>199</v>
      </c>
      <c r="B8" s="0" t="n">
        <v>2025</v>
      </c>
      <c r="C8" s="0" t="s">
        <v>170</v>
      </c>
      <c r="D8" s="0" t="n">
        <v>3958</v>
      </c>
      <c r="E8" s="0" t="n">
        <v>5400</v>
      </c>
      <c r="F8" s="33" t="n">
        <v>0.732971902188876</v>
      </c>
      <c r="G8" s="15" t="n">
        <v>228.031386220049</v>
      </c>
      <c r="H8" s="15" t="n">
        <v>902548.226658953</v>
      </c>
      <c r="I8" s="15" t="n">
        <v>243688.021197917</v>
      </c>
      <c r="J8" s="15" t="n">
        <v>212.265971825346</v>
      </c>
      <c r="K8" s="15" t="n">
        <f aca="false">H8/E8</f>
        <v>167.138560492399</v>
      </c>
      <c r="L8" s="15" t="n">
        <f aca="false">H8/D8</f>
        <v>228.031386220049</v>
      </c>
      <c r="M8" s="33" t="n">
        <f aca="false">D8/E8</f>
        <v>0.732962962962963</v>
      </c>
      <c r="N8" s="15" t="n">
        <f aca="false">(H8+I8)/E8</f>
        <v>212.265971825346</v>
      </c>
    </row>
    <row r="9" customFormat="false" ht="15" hidden="false" customHeight="false" outlineLevel="0" collapsed="false">
      <c r="A9" s="0" t="s">
        <v>200</v>
      </c>
      <c r="B9" s="0" t="n">
        <v>2025</v>
      </c>
      <c r="C9" s="0" t="s">
        <v>201</v>
      </c>
      <c r="D9" s="0" t="n">
        <v>3130</v>
      </c>
      <c r="E9" s="0" t="n">
        <v>5400</v>
      </c>
      <c r="F9" s="33" t="n">
        <v>0.579687778508069</v>
      </c>
      <c r="G9" s="15" t="n">
        <v>188.512538913879</v>
      </c>
      <c r="H9" s="15" t="n">
        <v>590044.246800443</v>
      </c>
      <c r="I9" s="15" t="n">
        <v>159311.94663612</v>
      </c>
      <c r="J9" s="15" t="n">
        <v>138.769665451215</v>
      </c>
      <c r="K9" s="15" t="n">
        <f aca="false">H9/E9</f>
        <v>109.267453111193</v>
      </c>
      <c r="L9" s="15" t="n">
        <f aca="false">H9/D9</f>
        <v>188.512538913879</v>
      </c>
      <c r="M9" s="33" t="n">
        <f aca="false">D9/E9</f>
        <v>0.57962962962963</v>
      </c>
      <c r="N9" s="15" t="n">
        <f aca="false">(H9+I9)/E9</f>
        <v>138.769665451215</v>
      </c>
    </row>
    <row r="10" customFormat="false" ht="15" hidden="false" customHeight="false" outlineLevel="0" collapsed="false">
      <c r="A10" s="0" t="s">
        <v>202</v>
      </c>
      <c r="B10" s="0" t="n">
        <v>2025</v>
      </c>
      <c r="C10" s="0" t="s">
        <v>201</v>
      </c>
      <c r="D10" s="0" t="n">
        <v>2863</v>
      </c>
      <c r="E10" s="0" t="n">
        <v>5400</v>
      </c>
      <c r="F10" s="33" t="n">
        <v>0.530228739929351</v>
      </c>
      <c r="G10" s="15" t="n">
        <v>182.896563887043</v>
      </c>
      <c r="H10" s="15" t="n">
        <v>523632.862408604</v>
      </c>
      <c r="I10" s="15" t="n">
        <v>141380.872850323</v>
      </c>
      <c r="J10" s="15" t="n">
        <v>123.150691714616</v>
      </c>
      <c r="K10" s="15" t="n">
        <f aca="false">H10/E10</f>
        <v>96.9690485941859</v>
      </c>
      <c r="L10" s="15" t="n">
        <f aca="false">H10/D10</f>
        <v>182.896563887043</v>
      </c>
      <c r="M10" s="33" t="n">
        <f aca="false">D10/E10</f>
        <v>0.530185185185185</v>
      </c>
      <c r="N10" s="15" t="n">
        <f aca="false">(H10+I10)/E10</f>
        <v>123.150691714616</v>
      </c>
    </row>
    <row r="11" customFormat="false" ht="15" hidden="false" customHeight="false" outlineLevel="0" collapsed="false">
      <c r="A11" s="0" t="s">
        <v>203</v>
      </c>
      <c r="B11" s="0" t="n">
        <v>2026</v>
      </c>
      <c r="C11" s="0" t="s">
        <v>201</v>
      </c>
      <c r="D11" s="0" t="n">
        <v>2830</v>
      </c>
      <c r="E11" s="0" t="n">
        <v>5400</v>
      </c>
      <c r="F11" s="33" t="n">
        <v>0.524146888142678</v>
      </c>
      <c r="G11" s="15" t="n">
        <v>182.347479465948</v>
      </c>
      <c r="H11" s="15" t="n">
        <v>516043.366888632</v>
      </c>
      <c r="I11" s="15" t="n">
        <v>139331.709059931</v>
      </c>
      <c r="J11" s="15" t="n">
        <v>121.36575480529</v>
      </c>
      <c r="K11" s="15" t="n">
        <f aca="false">H11/E11</f>
        <v>95.5635864608579</v>
      </c>
      <c r="L11" s="15" t="n">
        <f aca="false">H11/D11</f>
        <v>182.347479465948</v>
      </c>
      <c r="M11" s="33" t="n">
        <f aca="false">D11/E11</f>
        <v>0.524074074074074</v>
      </c>
      <c r="N11" s="15" t="n">
        <f aca="false">(H11+I11)/E11</f>
        <v>121.365754805289</v>
      </c>
    </row>
    <row r="12" customFormat="false" ht="15" hidden="false" customHeight="false" outlineLevel="0" collapsed="false">
      <c r="A12" s="0" t="s">
        <v>204</v>
      </c>
      <c r="B12" s="0" t="n">
        <v>2026</v>
      </c>
      <c r="C12" s="0" t="s">
        <v>170</v>
      </c>
      <c r="D12" s="0" t="n">
        <v>3950</v>
      </c>
      <c r="E12" s="0" t="n">
        <v>5400</v>
      </c>
      <c r="F12" s="33" t="n">
        <v>0.731630438906693</v>
      </c>
      <c r="G12" s="15" t="n">
        <v>215.906446394479</v>
      </c>
      <c r="H12" s="15" t="n">
        <v>852830.463258193</v>
      </c>
      <c r="I12" s="15" t="n">
        <v>230264.225079712</v>
      </c>
      <c r="J12" s="15" t="n">
        <v>200.573090432945</v>
      </c>
      <c r="K12" s="15" t="n">
        <f aca="false">H12/E12</f>
        <v>157.931567270036</v>
      </c>
      <c r="L12" s="15" t="n">
        <f aca="false">H12/D12</f>
        <v>215.906446394479</v>
      </c>
      <c r="M12" s="33" t="n">
        <f aca="false">D12/E12</f>
        <v>0.731481481481482</v>
      </c>
      <c r="N12" s="15" t="n">
        <f aca="false">(H12+I12)/E12</f>
        <v>200.573090432945</v>
      </c>
    </row>
    <row r="13" customFormat="false" ht="15" hidden="false" customHeight="false" outlineLevel="0" collapsed="false">
      <c r="A13" s="0" t="s">
        <v>205</v>
      </c>
      <c r="B13" s="0" t="n">
        <v>2026</v>
      </c>
      <c r="C13" s="0" t="s">
        <v>170</v>
      </c>
      <c r="D13" s="0" t="n">
        <v>3878</v>
      </c>
      <c r="E13" s="0" t="n">
        <v>5400</v>
      </c>
      <c r="F13" s="33" t="n">
        <v>0.718328652713018</v>
      </c>
      <c r="G13" s="15" t="n">
        <v>232.588806932248</v>
      </c>
      <c r="H13" s="15" t="n">
        <v>901979.393283256</v>
      </c>
      <c r="I13" s="15" t="n">
        <v>243534.436186479</v>
      </c>
      <c r="J13" s="15" t="n">
        <v>212.132190642544</v>
      </c>
      <c r="K13" s="15" t="n">
        <f aca="false">H13/E13</f>
        <v>167.033220978381</v>
      </c>
      <c r="L13" s="15" t="n">
        <f aca="false">H13/D13</f>
        <v>232.588806932248</v>
      </c>
      <c r="M13" s="33" t="n">
        <f aca="false">D13/E13</f>
        <v>0.718148148148148</v>
      </c>
      <c r="N13" s="15" t="n">
        <f aca="false">(H13+I13)/E13</f>
        <v>212.132190642544</v>
      </c>
    </row>
    <row r="14" customFormat="false" ht="15" hidden="false" customHeight="false" outlineLevel="0" collapsed="false">
      <c r="A14" s="0" t="s">
        <v>206</v>
      </c>
      <c r="B14" s="0" t="n">
        <v>2026</v>
      </c>
      <c r="C14" s="0" t="s">
        <v>111</v>
      </c>
      <c r="D14" s="0" t="n">
        <v>4176</v>
      </c>
      <c r="E14" s="0" t="n">
        <v>5400</v>
      </c>
      <c r="F14" s="33" t="n">
        <v>0.773433785186518</v>
      </c>
      <c r="G14" s="15" t="n">
        <v>247.738332333717</v>
      </c>
      <c r="H14" s="15" t="n">
        <v>1034555.2758256</v>
      </c>
      <c r="I14" s="15" t="n">
        <v>279329.924472912</v>
      </c>
      <c r="J14" s="15" t="n">
        <v>243.312074129354</v>
      </c>
      <c r="K14" s="15" t="n">
        <f aca="false">H14/E14</f>
        <v>191.584310338074</v>
      </c>
      <c r="L14" s="15" t="n">
        <f aca="false">H14/D14</f>
        <v>247.738332333716</v>
      </c>
      <c r="M14" s="33" t="n">
        <f aca="false">D14/E14</f>
        <v>0.773333333333333</v>
      </c>
      <c r="N14" s="15" t="n">
        <f aca="false">(H14+I14)/E14</f>
        <v>243.312074129354</v>
      </c>
    </row>
    <row r="15" customFormat="false" ht="15" hidden="false" customHeight="false" outlineLevel="0" collapsed="false">
      <c r="A15" s="0" t="s">
        <v>207</v>
      </c>
      <c r="B15" s="0" t="n">
        <v>2026</v>
      </c>
      <c r="C15" s="0" t="s">
        <v>111</v>
      </c>
      <c r="D15" s="0" t="n">
        <v>4202</v>
      </c>
      <c r="E15" s="0" t="n">
        <v>5400</v>
      </c>
      <c r="F15" s="33" t="n">
        <v>0.778155109532965</v>
      </c>
      <c r="G15" s="15" t="n">
        <v>262.300746535563</v>
      </c>
      <c r="H15" s="15" t="n">
        <v>1102187.73694243</v>
      </c>
      <c r="I15" s="15" t="n">
        <v>297590.688974457</v>
      </c>
      <c r="J15" s="15" t="n">
        <v>259.218227021646</v>
      </c>
      <c r="K15" s="15" t="n">
        <f aca="false">H15/E15</f>
        <v>204.108840174525</v>
      </c>
      <c r="L15" s="15" t="n">
        <f aca="false">H15/D15</f>
        <v>262.300746535563</v>
      </c>
      <c r="M15" s="33" t="n">
        <f aca="false">D15/E15</f>
        <v>0.778148148148148</v>
      </c>
      <c r="N15" s="15" t="n">
        <f aca="false">(H15+I15)/E15</f>
        <v>259.218227021647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6" t="s">
        <v>208</v>
      </c>
      <c r="B1" s="16"/>
      <c r="C1" s="16"/>
      <c r="D1" s="16"/>
      <c r="E1" s="16"/>
    </row>
    <row r="3" customFormat="false" ht="15" hidden="false" customHeight="false" outlineLevel="0" collapsed="false">
      <c r="A3" s="8" t="s">
        <v>19</v>
      </c>
      <c r="B3" s="8" t="s">
        <v>209</v>
      </c>
      <c r="C3" s="8" t="s">
        <v>210</v>
      </c>
      <c r="D3" s="8" t="s">
        <v>21</v>
      </c>
      <c r="E3" s="8" t="s">
        <v>211</v>
      </c>
    </row>
    <row r="4" customFormat="false" ht="15" hidden="false" customHeight="false" outlineLevel="0" collapsed="false">
      <c r="A4" s="0" t="s">
        <v>23</v>
      </c>
      <c r="B4" s="4" t="n">
        <v>1280</v>
      </c>
      <c r="C4" s="14" t="n">
        <f aca="false">B4/4120</f>
        <v>0.310679611650485</v>
      </c>
      <c r="D4" s="10" t="n">
        <v>215</v>
      </c>
      <c r="E4" s="15" t="n">
        <f aca="false">B4*D4</f>
        <v>275200</v>
      </c>
    </row>
    <row r="5" customFormat="false" ht="15" hidden="false" customHeight="false" outlineLevel="0" collapsed="false">
      <c r="A5" s="0" t="s">
        <v>24</v>
      </c>
      <c r="B5" s="4" t="n">
        <v>950</v>
      </c>
      <c r="C5" s="14" t="n">
        <f aca="false">B5/4120</f>
        <v>0.230582524271845</v>
      </c>
      <c r="D5" s="10" t="n">
        <v>275</v>
      </c>
      <c r="E5" s="15" t="n">
        <f aca="false">B5*D5</f>
        <v>261250</v>
      </c>
    </row>
    <row r="6" customFormat="false" ht="15" hidden="false" customHeight="false" outlineLevel="0" collapsed="false">
      <c r="A6" s="0" t="s">
        <v>25</v>
      </c>
      <c r="B6" s="4" t="n">
        <v>780</v>
      </c>
      <c r="C6" s="14" t="n">
        <f aca="false">B6/4120</f>
        <v>0.189320388349515</v>
      </c>
      <c r="D6" s="10" t="n">
        <v>240</v>
      </c>
      <c r="E6" s="15" t="n">
        <f aca="false">B6*D6</f>
        <v>187200</v>
      </c>
    </row>
    <row r="7" customFormat="false" ht="15" hidden="false" customHeight="false" outlineLevel="0" collapsed="false">
      <c r="A7" s="0" t="s">
        <v>26</v>
      </c>
      <c r="B7" s="4" t="n">
        <v>620</v>
      </c>
      <c r="C7" s="14" t="n">
        <f aca="false">B7/4120</f>
        <v>0.150485436893204</v>
      </c>
      <c r="D7" s="10" t="n">
        <v>235</v>
      </c>
      <c r="E7" s="15" t="n">
        <f aca="false">B7*D7</f>
        <v>145700</v>
      </c>
    </row>
    <row r="8" customFormat="false" ht="15" hidden="false" customHeight="false" outlineLevel="0" collapsed="false">
      <c r="A8" s="0" t="s">
        <v>27</v>
      </c>
      <c r="B8" s="4" t="n">
        <v>490</v>
      </c>
      <c r="C8" s="14" t="n">
        <f aca="false">B8/4120</f>
        <v>0.118932038834951</v>
      </c>
      <c r="D8" s="10" t="n">
        <v>205</v>
      </c>
      <c r="E8" s="15" t="n">
        <f aca="false">B8*D8</f>
        <v>100450</v>
      </c>
    </row>
    <row r="9" customFormat="false" ht="15" hidden="false" customHeight="false" outlineLevel="0" collapsed="false">
      <c r="A9" s="6" t="s">
        <v>212</v>
      </c>
      <c r="B9" s="6" t="n">
        <f aca="false">SUM(B4:B8)</f>
        <v>4120</v>
      </c>
      <c r="C9" s="6" t="s">
        <v>213</v>
      </c>
      <c r="E9" s="34" t="n">
        <f aca="false">SUM(E4:E8)</f>
        <v>969800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5"/>
  </cols>
  <sheetData>
    <row r="1" customFormat="false" ht="19.7" hidden="false" customHeight="false" outlineLevel="0" collapsed="false">
      <c r="A1" s="16" t="s">
        <v>214</v>
      </c>
      <c r="B1" s="16"/>
      <c r="C1" s="16"/>
      <c r="D1" s="16"/>
      <c r="E1" s="16"/>
      <c r="F1" s="16"/>
      <c r="G1" s="16"/>
    </row>
    <row r="3" customFormat="false" ht="15" hidden="false" customHeight="false" outlineLevel="0" collapsed="false">
      <c r="A3" s="35" t="s">
        <v>215</v>
      </c>
    </row>
    <row r="4" customFormat="false" ht="15" hidden="false" customHeight="false" outlineLevel="0" collapsed="false">
      <c r="A4" s="13" t="s">
        <v>216</v>
      </c>
      <c r="B4" s="13" t="s">
        <v>217</v>
      </c>
      <c r="C4" s="13" t="s">
        <v>218</v>
      </c>
      <c r="D4" s="13" t="s">
        <v>219</v>
      </c>
    </row>
    <row r="5" customFormat="false" ht="15" hidden="false" customHeight="false" outlineLevel="0" collapsed="false">
      <c r="A5" s="0" t="s">
        <v>220</v>
      </c>
      <c r="B5" s="15" t="n">
        <v>260</v>
      </c>
      <c r="C5" s="15" t="n">
        <f aca="false">B5*0.9</f>
        <v>234</v>
      </c>
      <c r="D5" s="15" t="n">
        <f aca="false">B5*1.1</f>
        <v>286</v>
      </c>
    </row>
    <row r="6" customFormat="false" ht="15" hidden="false" customHeight="false" outlineLevel="0" collapsed="false">
      <c r="A6" s="0" t="s">
        <v>221</v>
      </c>
      <c r="B6" s="33" t="n">
        <v>0.76</v>
      </c>
      <c r="C6" s="33" t="n">
        <v>0.84</v>
      </c>
      <c r="D6" s="33" t="n">
        <v>0.7</v>
      </c>
    </row>
    <row r="7" customFormat="false" ht="15" hidden="false" customHeight="false" outlineLevel="0" collapsed="false">
      <c r="A7" s="0" t="s">
        <v>6</v>
      </c>
      <c r="B7" s="15" t="n">
        <f aca="false">B5*B6</f>
        <v>197.6</v>
      </c>
      <c r="C7" s="15" t="n">
        <f aca="false">C5*C6</f>
        <v>196.56</v>
      </c>
      <c r="D7" s="15" t="n">
        <f aca="false">D5*D6</f>
        <v>200.2</v>
      </c>
    </row>
    <row r="8" customFormat="false" ht="15" hidden="false" customHeight="false" outlineLevel="0" collapsed="false">
      <c r="A8" s="0" t="s">
        <v>222</v>
      </c>
      <c r="B8" s="15" t="n">
        <f aca="false">B7*5400</f>
        <v>1067040</v>
      </c>
      <c r="C8" s="15" t="n">
        <f aca="false">C7*5400</f>
        <v>1061424</v>
      </c>
      <c r="D8" s="15" t="n">
        <f aca="false">D7*5400</f>
        <v>1081080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2026-05-10T16:54:23Z</dcterms:created>
  <dc:creator>openpyxl</dc:creator>
  <dc:description/>
  <dc:language>en-US</dc:language>
  <cp:lastModifiedBy/>
  <dcterms:modified xsi:type="dcterms:W3CDTF">2026-05-10T16:54:23Z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